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tsuo\source\repos\OnlineLearningPlatform\"/>
    </mc:Choice>
  </mc:AlternateContent>
  <xr:revisionPtr revIDLastSave="0" documentId="8_{F3DABAF8-5DC5-4F67-B94B-6836F48CB064}" xr6:coauthVersionLast="47" xr6:coauthVersionMax="47" xr10:uidLastSave="{00000000-0000-0000-0000-000000000000}"/>
  <bookViews>
    <workbookView xWindow="-110" yWindow="-110" windowWidth="19420" windowHeight="10300" xr2:uid="{AD893847-17A5-436B-9607-304EA339B3B3}"/>
  </bookViews>
  <sheets>
    <sheet name=" " sheetId="1" r:id="rId1"/>
    <sheet name="auth_user" sheetId="2" r:id="rId2"/>
    <sheet name="online_learning_platform_accoun" sheetId="4" r:id="rId3"/>
    <sheet name="online_learning_platform_teache" sheetId="5" r:id="rId4"/>
    <sheet name="teacher_course" sheetId="6" r:id="rId5"/>
    <sheet name="teacher_section" sheetId="7" r:id="rId6"/>
    <sheet name="teacher_content" sheetId="8" r:id="rId7"/>
    <sheet name="teacher_lecturevideo" sheetId="9" r:id="rId8"/>
    <sheet name="teacher_examination" sheetId="10" r:id="rId9"/>
    <sheet name="teacher_examquestion" sheetId="11" r:id="rId10"/>
    <sheet name="teacher_examquestionchoice" sheetId="12" r:id="rId11"/>
    <sheet name="teacher_coupon" sheetId="13" r:id="rId12"/>
    <sheet name="online_learning_platform_studen" sheetId="14" r:id="rId13"/>
    <sheet name="student_coursepurchase" sheetId="15" r:id="rId14"/>
    <sheet name="student_courseattending" sheetId="16" r:id="rId15"/>
    <sheet name="student_sectionattending" sheetId="17" r:id="rId16"/>
    <sheet name="student_contentattending" sheetId="18" r:id="rId17"/>
    <sheet name="student_examresult" sheetId="19" r:id="rId18"/>
    <sheet name="student_examresultdetail" sheetId="20" r:id="rId19"/>
    <sheet name="student_examresulthistory" sheetId="21" r:id="rId20"/>
    <sheet name="student_question" sheetId="22" r:id="rId21"/>
    <sheet name="student_comment" sheetId="23" r:id="rId22"/>
    <sheet name="company_company" sheetId="24" r:id="rId23"/>
    <sheet name="company_corporateattendingstude" sheetId="25" r:id="rId24"/>
    <sheet name="company_group" sheetId="26" r:id="rId25"/>
    <sheet name="company_trainingcurriculum" sheetId="27" r:id="rId26"/>
    <sheet name="company_trainingcurriculumcours" sheetId="28" r:id="rId27"/>
    <sheet name="company_groupstudent" sheetId="29" r:id="rId28"/>
    <sheet name="company_groupcurriculum" sheetId="30" r:id="rId29"/>
    <sheet name="orateattendingstudentcurriculum" sheetId="31" r:id="rId30"/>
    <sheet name="company_trainingcurriculumexam" sheetId="32" r:id="rId3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1" l="1"/>
  <c r="D31" i="1"/>
  <c r="E30" i="1"/>
  <c r="D30" i="1"/>
  <c r="E29" i="1"/>
  <c r="D29" i="1"/>
  <c r="E28" i="1"/>
  <c r="D28" i="1"/>
  <c r="E27" i="1"/>
  <c r="D27" i="1"/>
  <c r="H3" i="32" a="1"/>
  <c r="H3" i="32" s="1"/>
  <c r="G3" i="32"/>
  <c r="H5" i="32" a="1"/>
  <c r="H5" i="32" s="1"/>
  <c r="G5" i="32"/>
  <c r="H7" i="32" a="1"/>
  <c r="H7" i="32" s="1"/>
  <c r="G7" i="32"/>
  <c r="H6" i="31" a="1"/>
  <c r="H6" i="31" s="1"/>
  <c r="G6" i="31"/>
  <c r="H5" i="31" a="1"/>
  <c r="H5" i="31" s="1"/>
  <c r="G5" i="31"/>
  <c r="H4" i="31" a="1"/>
  <c r="H4" i="31" s="1"/>
  <c r="G4" i="31"/>
  <c r="H8" i="31" a="1"/>
  <c r="H8" i="31" s="1"/>
  <c r="G8" i="31"/>
  <c r="H7" i="31" a="1"/>
  <c r="H7" i="31" s="1"/>
  <c r="G7" i="31"/>
  <c r="H3" i="31" a="1"/>
  <c r="H3" i="31" s="1"/>
  <c r="G3" i="31"/>
  <c r="H8" i="30" a="1"/>
  <c r="H8" i="30" s="1"/>
  <c r="G8" i="30"/>
  <c r="H7" i="30" a="1"/>
  <c r="H7" i="30" s="1"/>
  <c r="G7" i="30"/>
  <c r="H6" i="30" a="1"/>
  <c r="H6" i="30" s="1"/>
  <c r="G6" i="30"/>
  <c r="H5" i="30" a="1"/>
  <c r="H5" i="30" s="1"/>
  <c r="G5" i="30"/>
  <c r="H4" i="30" a="1"/>
  <c r="H4" i="30" s="1"/>
  <c r="G4" i="30"/>
  <c r="H3" i="30"/>
  <c r="H3" i="30" a="1"/>
  <c r="G3" i="30"/>
  <c r="H5" i="29" a="1"/>
  <c r="H5" i="29" s="1"/>
  <c r="G5" i="29"/>
  <c r="H4" i="29" a="1"/>
  <c r="H4" i="29" s="1"/>
  <c r="G4" i="29"/>
  <c r="H3" i="29" a="1"/>
  <c r="H3" i="29" s="1"/>
  <c r="G3" i="29"/>
  <c r="H7" i="28" a="1"/>
  <c r="H7" i="28" s="1"/>
  <c r="G7" i="28"/>
  <c r="H6" i="28" a="1"/>
  <c r="H6" i="28" s="1"/>
  <c r="G6" i="28"/>
  <c r="H5" i="28" a="1"/>
  <c r="H5" i="28" s="1"/>
  <c r="G5" i="28"/>
  <c r="H4" i="28" a="1"/>
  <c r="H4" i="28" s="1"/>
  <c r="G4" i="28"/>
  <c r="H3" i="28" a="1"/>
  <c r="H3" i="28" s="1"/>
  <c r="G3" i="28"/>
  <c r="H6" i="32" a="1"/>
  <c r="H6" i="32" s="1"/>
  <c r="G6" i="32"/>
  <c r="H4" i="32" a="1"/>
  <c r="H4" i="32" s="1"/>
  <c r="G4" i="32"/>
  <c r="H2" i="32" a="1"/>
  <c r="H2" i="32" s="1"/>
  <c r="G2" i="32"/>
  <c r="H1" i="32"/>
  <c r="G1" i="32" a="1"/>
  <c r="G1" i="32" s="1"/>
  <c r="H2" i="31" a="1"/>
  <c r="H2" i="31" s="1"/>
  <c r="G2" i="31"/>
  <c r="H1" i="31"/>
  <c r="G1" i="31" a="1"/>
  <c r="G1" i="31" s="1"/>
  <c r="H2" i="30" a="1"/>
  <c r="H2" i="30" s="1"/>
  <c r="G2" i="30"/>
  <c r="H1" i="30"/>
  <c r="G1" i="30" a="1"/>
  <c r="G1" i="30" s="1"/>
  <c r="H6" i="29" a="1"/>
  <c r="H6" i="29" s="1"/>
  <c r="G6" i="29"/>
  <c r="H2" i="29" a="1"/>
  <c r="H2" i="29" s="1"/>
  <c r="G2" i="29"/>
  <c r="H1" i="29"/>
  <c r="G1" i="29" a="1"/>
  <c r="G1" i="29" s="1"/>
  <c r="H2" i="28" a="1"/>
  <c r="H2" i="28" s="1"/>
  <c r="G2" i="28"/>
  <c r="H1" i="28"/>
  <c r="G1" i="28" a="1"/>
  <c r="G1" i="28" s="1"/>
  <c r="C31" i="1"/>
  <c r="C30" i="1"/>
  <c r="C29" i="1"/>
  <c r="C28" i="1"/>
  <c r="C27" i="1"/>
  <c r="H7" i="27" a="1"/>
  <c r="H7" i="27" s="1"/>
  <c r="G7" i="27"/>
  <c r="H6" i="27" a="1"/>
  <c r="H6" i="27" s="1"/>
  <c r="G6" i="27"/>
  <c r="H5" i="27" a="1"/>
  <c r="H5" i="27" s="1"/>
  <c r="G5" i="27"/>
  <c r="H4" i="27" a="1"/>
  <c r="H4" i="27" s="1"/>
  <c r="G4" i="27"/>
  <c r="H3" i="27" a="1"/>
  <c r="H3" i="27" s="1"/>
  <c r="G3" i="27"/>
  <c r="H2" i="27" a="1"/>
  <c r="H2" i="27" s="1"/>
  <c r="G2" i="27"/>
  <c r="H1" i="27"/>
  <c r="G1" i="27" a="1"/>
  <c r="G1" i="27" s="1"/>
  <c r="H7" i="26" a="1"/>
  <c r="H7" i="26" s="1"/>
  <c r="G7" i="26"/>
  <c r="H6" i="26" a="1"/>
  <c r="H6" i="26" s="1"/>
  <c r="G6" i="26"/>
  <c r="H5" i="26" a="1"/>
  <c r="H5" i="26" s="1"/>
  <c r="G5" i="26"/>
  <c r="H4" i="26" a="1"/>
  <c r="H4" i="26" s="1"/>
  <c r="G4" i="26"/>
  <c r="H3" i="26" a="1"/>
  <c r="H3" i="26" s="1"/>
  <c r="G3" i="26"/>
  <c r="H2" i="26" a="1"/>
  <c r="H2" i="26" s="1"/>
  <c r="G2" i="26"/>
  <c r="H1" i="26"/>
  <c r="G1" i="26" a="1"/>
  <c r="G1" i="26" s="1"/>
  <c r="H3" i="25" a="1"/>
  <c r="H3" i="25" s="1"/>
  <c r="G3" i="25"/>
  <c r="H2" i="25" a="1"/>
  <c r="H2" i="25" s="1"/>
  <c r="G2" i="25"/>
  <c r="H1" i="25"/>
  <c r="G1" i="25" a="1"/>
  <c r="G1" i="25" s="1"/>
  <c r="H5" i="24" a="1"/>
  <c r="H5" i="24" s="1"/>
  <c r="G5" i="24"/>
  <c r="H4" i="24" a="1"/>
  <c r="H4" i="24" s="1"/>
  <c r="G4" i="24"/>
  <c r="H3" i="24" a="1"/>
  <c r="H3" i="24" s="1"/>
  <c r="G3" i="24"/>
  <c r="H2" i="24" a="1"/>
  <c r="H2" i="24" s="1"/>
  <c r="G2" i="24"/>
  <c r="H1" i="24"/>
  <c r="G1" i="24" a="1"/>
  <c r="G1" i="24" s="1"/>
  <c r="E26" i="1"/>
  <c r="D26" i="1"/>
  <c r="E25" i="1"/>
  <c r="D25" i="1"/>
  <c r="E24" i="1"/>
  <c r="D24" i="1"/>
  <c r="E23" i="1"/>
  <c r="D23" i="1"/>
  <c r="C26" i="1"/>
  <c r="C25" i="1"/>
  <c r="C24" i="1"/>
  <c r="C23" i="1"/>
  <c r="G11" i="2"/>
  <c r="H11" i="2" a="1"/>
  <c r="H11" i="2" s="1"/>
  <c r="G1" i="4" a="1"/>
  <c r="G1" i="4" s="1"/>
  <c r="G1" i="5" a="1"/>
  <c r="G1" i="5" s="1"/>
  <c r="F31" i="1" a="1"/>
  <c r="F27" i="1" a="1"/>
  <c r="F26" i="1" a="1"/>
  <c r="F30" i="1" a="1"/>
  <c r="F29" i="1" a="1"/>
  <c r="F28" i="1" a="1"/>
  <c r="F24" i="1" a="1"/>
  <c r="F25" i="1" a="1"/>
  <c r="F23" i="1" a="1"/>
  <c r="F30" i="1" l="1"/>
  <c r="G30" i="1" s="1"/>
  <c r="H30" i="1" s="1"/>
  <c r="F28" i="1"/>
  <c r="G28" i="1" s="1"/>
  <c r="H28" i="1" s="1"/>
  <c r="F27" i="1"/>
  <c r="G27" i="1" s="1"/>
  <c r="H27" i="1" s="1"/>
  <c r="F31" i="1"/>
  <c r="G31" i="1" s="1"/>
  <c r="H31" i="1" s="1"/>
  <c r="F29" i="1"/>
  <c r="G29" i="1" s="1"/>
  <c r="H29" i="1" s="1"/>
  <c r="F25" i="1"/>
  <c r="G25" i="1" s="1"/>
  <c r="H25" i="1" s="1"/>
  <c r="F24" i="1"/>
  <c r="G24" i="1" s="1"/>
  <c r="H24" i="1" s="1"/>
  <c r="F26" i="1"/>
  <c r="G26" i="1" s="1"/>
  <c r="H26" i="1" s="1"/>
  <c r="F23" i="1"/>
  <c r="G23" i="1" s="1"/>
  <c r="H23" i="1" s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H3" i="23" a="1"/>
  <c r="H3" i="23" s="1"/>
  <c r="G3" i="23"/>
  <c r="H7" i="23" a="1"/>
  <c r="H7" i="23" s="1"/>
  <c r="G7" i="23"/>
  <c r="H6" i="23" a="1"/>
  <c r="H6" i="23" s="1"/>
  <c r="G6" i="23"/>
  <c r="H5" i="23" a="1"/>
  <c r="H5" i="23" s="1"/>
  <c r="G5" i="23"/>
  <c r="H4" i="23" a="1"/>
  <c r="H4" i="23" s="1"/>
  <c r="G4" i="23"/>
  <c r="H2" i="23" a="1"/>
  <c r="H2" i="23" s="1"/>
  <c r="G2" i="23"/>
  <c r="H1" i="23"/>
  <c r="G1" i="23" a="1"/>
  <c r="G1" i="23" s="1"/>
  <c r="H4" i="22"/>
  <c r="H4" i="22" a="1"/>
  <c r="G4" i="22"/>
  <c r="H3" i="22" a="1"/>
  <c r="H3" i="22" s="1"/>
  <c r="G3" i="22"/>
  <c r="H9" i="22" a="1"/>
  <c r="H9" i="22" s="1"/>
  <c r="G9" i="22"/>
  <c r="H8" i="22" a="1"/>
  <c r="H8" i="22" s="1"/>
  <c r="G8" i="22"/>
  <c r="H7" i="22" a="1"/>
  <c r="H7" i="22" s="1"/>
  <c r="G7" i="22"/>
  <c r="H6" i="22" a="1"/>
  <c r="H6" i="22" s="1"/>
  <c r="G6" i="22"/>
  <c r="H5" i="22" a="1"/>
  <c r="H5" i="22" s="1"/>
  <c r="G5" i="22"/>
  <c r="H2" i="22" a="1"/>
  <c r="H2" i="22" s="1"/>
  <c r="G2" i="22"/>
  <c r="H1" i="22"/>
  <c r="G1" i="22" a="1"/>
  <c r="G1" i="22" s="1"/>
  <c r="H3" i="21" a="1"/>
  <c r="H3" i="21" s="1"/>
  <c r="G3" i="21"/>
  <c r="H7" i="21" a="1"/>
  <c r="H7" i="21" s="1"/>
  <c r="G7" i="21"/>
  <c r="H6" i="21" a="1"/>
  <c r="H6" i="21" s="1"/>
  <c r="G6" i="21"/>
  <c r="H5" i="21" a="1"/>
  <c r="H5" i="21" s="1"/>
  <c r="G5" i="21"/>
  <c r="H4" i="21" a="1"/>
  <c r="H4" i="21" s="1"/>
  <c r="G4" i="21"/>
  <c r="H2" i="21" a="1"/>
  <c r="H2" i="21" s="1"/>
  <c r="G2" i="21"/>
  <c r="H1" i="21"/>
  <c r="G1" i="21" a="1"/>
  <c r="G1" i="21" s="1"/>
  <c r="H7" i="20" a="1"/>
  <c r="H7" i="20" s="1"/>
  <c r="G7" i="20"/>
  <c r="H6" i="20" a="1"/>
  <c r="H6" i="20" s="1"/>
  <c r="G6" i="20"/>
  <c r="H5" i="20" a="1"/>
  <c r="H5" i="20" s="1"/>
  <c r="G5" i="20"/>
  <c r="H4" i="20" a="1"/>
  <c r="H4" i="20" s="1"/>
  <c r="G4" i="20"/>
  <c r="H3" i="20" a="1"/>
  <c r="H3" i="20" s="1"/>
  <c r="G3" i="20"/>
  <c r="H2" i="20" a="1"/>
  <c r="H2" i="20" s="1"/>
  <c r="G2" i="20"/>
  <c r="H1" i="20"/>
  <c r="G1" i="20" a="1"/>
  <c r="G1" i="20" s="1"/>
  <c r="H3" i="19" a="1"/>
  <c r="H3" i="19" s="1"/>
  <c r="G3" i="19"/>
  <c r="H2" i="19" a="1"/>
  <c r="H2" i="19" s="1"/>
  <c r="G2" i="19"/>
  <c r="H1" i="19"/>
  <c r="G1" i="19" a="1"/>
  <c r="G1" i="19" s="1"/>
  <c r="H3" i="18" a="1"/>
  <c r="H3" i="18" s="1"/>
  <c r="G3" i="18"/>
  <c r="H4" i="18" a="1"/>
  <c r="H4" i="18" s="1"/>
  <c r="G4" i="18"/>
  <c r="H8" i="18" a="1"/>
  <c r="H8" i="18" s="1"/>
  <c r="G8" i="18"/>
  <c r="H7" i="18" a="1"/>
  <c r="H7" i="18" s="1"/>
  <c r="G7" i="18"/>
  <c r="H6" i="18" a="1"/>
  <c r="H6" i="18" s="1"/>
  <c r="G6" i="18"/>
  <c r="H5" i="18" a="1"/>
  <c r="H5" i="18" s="1"/>
  <c r="G5" i="18"/>
  <c r="H2" i="18" a="1"/>
  <c r="H2" i="18" s="1"/>
  <c r="G2" i="18"/>
  <c r="H1" i="18"/>
  <c r="G1" i="18" a="1"/>
  <c r="G1" i="18" s="1"/>
  <c r="H3" i="17" a="1"/>
  <c r="H3" i="17" s="1"/>
  <c r="G3" i="17"/>
  <c r="H4" i="17" a="1"/>
  <c r="H4" i="17" s="1"/>
  <c r="G4" i="17"/>
  <c r="H8" i="17" a="1"/>
  <c r="H8" i="17" s="1"/>
  <c r="G8" i="17"/>
  <c r="H7" i="17" a="1"/>
  <c r="H7" i="17" s="1"/>
  <c r="G7" i="17"/>
  <c r="H6" i="17" a="1"/>
  <c r="H6" i="17" s="1"/>
  <c r="G6" i="17"/>
  <c r="H5" i="17" a="1"/>
  <c r="H5" i="17" s="1"/>
  <c r="G5" i="17"/>
  <c r="H2" i="17" a="1"/>
  <c r="H2" i="17" s="1"/>
  <c r="G2" i="17"/>
  <c r="H1" i="17"/>
  <c r="G1" i="17" a="1"/>
  <c r="G1" i="17" s="1"/>
  <c r="H7" i="16" a="1"/>
  <c r="H7" i="16" s="1"/>
  <c r="G7" i="16"/>
  <c r="H10" i="16" a="1"/>
  <c r="H10" i="16" s="1"/>
  <c r="G10" i="16"/>
  <c r="H9" i="16" a="1"/>
  <c r="H9" i="16" s="1"/>
  <c r="G9" i="16"/>
  <c r="H3" i="16" a="1"/>
  <c r="H3" i="16" s="1"/>
  <c r="G3" i="16"/>
  <c r="H4" i="16" a="1"/>
  <c r="H4" i="16" s="1"/>
  <c r="G4" i="16"/>
  <c r="H8" i="16" a="1"/>
  <c r="H8" i="16" s="1"/>
  <c r="G8" i="16"/>
  <c r="H6" i="16" a="1"/>
  <c r="H6" i="16" s="1"/>
  <c r="G6" i="16"/>
  <c r="H5" i="16" a="1"/>
  <c r="H5" i="16" s="1"/>
  <c r="G5" i="16"/>
  <c r="H2" i="16" a="1"/>
  <c r="H2" i="16" s="1"/>
  <c r="G2" i="16"/>
  <c r="H1" i="16"/>
  <c r="G1" i="16" a="1"/>
  <c r="G1" i="16" s="1"/>
  <c r="H10" i="15" a="1"/>
  <c r="H10" i="15" s="1"/>
  <c r="G10" i="15"/>
  <c r="H9" i="15" a="1"/>
  <c r="H9" i="15" s="1"/>
  <c r="G9" i="15"/>
  <c r="H8" i="15" a="1"/>
  <c r="H8" i="15" s="1"/>
  <c r="G8" i="15"/>
  <c r="H7" i="15" a="1"/>
  <c r="H7" i="15" s="1"/>
  <c r="G7" i="15"/>
  <c r="H6" i="15" a="1"/>
  <c r="H6" i="15" s="1"/>
  <c r="G6" i="15"/>
  <c r="H5" i="15"/>
  <c r="H5" i="15" a="1"/>
  <c r="G5" i="15"/>
  <c r="H4" i="15"/>
  <c r="H4" i="15" a="1"/>
  <c r="G4" i="15"/>
  <c r="H3" i="15" a="1"/>
  <c r="H3" i="15" s="1"/>
  <c r="G3" i="15"/>
  <c r="H2" i="15" a="1"/>
  <c r="H2" i="15" s="1"/>
  <c r="G2" i="15"/>
  <c r="H1" i="15"/>
  <c r="G1" i="15" a="1"/>
  <c r="G1" i="15" s="1"/>
  <c r="H3" i="14" a="1"/>
  <c r="H3" i="14" s="1"/>
  <c r="G3" i="14"/>
  <c r="H2" i="14" a="1"/>
  <c r="H2" i="14" s="1"/>
  <c r="G2" i="14"/>
  <c r="H1" i="14"/>
  <c r="G1" i="14" a="1"/>
  <c r="G1" i="14" s="1"/>
  <c r="H12" i="2" a="1"/>
  <c r="H12" i="2" s="1"/>
  <c r="H10" i="2" a="1"/>
  <c r="H10" i="2" s="1"/>
  <c r="H9" i="2" a="1"/>
  <c r="H9" i="2" s="1"/>
  <c r="H8" i="2" a="1"/>
  <c r="H8" i="2" s="1"/>
  <c r="H7" i="2" a="1"/>
  <c r="H7" i="2" s="1"/>
  <c r="H6" i="2" a="1"/>
  <c r="H6" i="2" s="1"/>
  <c r="H5" i="2" a="1"/>
  <c r="H5" i="2" s="1"/>
  <c r="H4" i="2" a="1"/>
  <c r="H4" i="2" s="1"/>
  <c r="H3" i="2" a="1"/>
  <c r="H3" i="2" s="1"/>
  <c r="H2" i="2" a="1"/>
  <c r="H2" i="2" s="1"/>
  <c r="H6" i="4" a="1"/>
  <c r="H6" i="4" s="1"/>
  <c r="H5" i="4" a="1"/>
  <c r="H5" i="4" s="1"/>
  <c r="H4" i="4" a="1"/>
  <c r="H4" i="4" s="1"/>
  <c r="H3" i="4" a="1"/>
  <c r="H3" i="4" s="1"/>
  <c r="H2" i="4" a="1"/>
  <c r="H2" i="4" s="1"/>
  <c r="H3" i="5" a="1"/>
  <c r="H3" i="5" s="1"/>
  <c r="H2" i="5" a="1"/>
  <c r="H2" i="5" s="1"/>
  <c r="H7" i="6"/>
  <c r="H7" i="6" a="1"/>
  <c r="H6" i="6" a="1"/>
  <c r="H6" i="6" s="1"/>
  <c r="H5" i="6" a="1"/>
  <c r="H5" i="6" s="1"/>
  <c r="H4" i="6" a="1"/>
  <c r="H4" i="6" s="1"/>
  <c r="H3" i="6" a="1"/>
  <c r="H3" i="6" s="1"/>
  <c r="H2" i="6" a="1"/>
  <c r="H2" i="6" s="1"/>
  <c r="H7" i="7"/>
  <c r="H7" i="7" a="1"/>
  <c r="H6" i="7" a="1"/>
  <c r="H6" i="7" s="1"/>
  <c r="H5" i="7" a="1"/>
  <c r="H5" i="7" s="1"/>
  <c r="H4" i="7" a="1"/>
  <c r="H4" i="7" s="1"/>
  <c r="H3" i="7" a="1"/>
  <c r="H3" i="7" s="1"/>
  <c r="H2" i="7" a="1"/>
  <c r="H2" i="7" s="1"/>
  <c r="H8" i="8" a="1"/>
  <c r="H8" i="8" s="1"/>
  <c r="H7" i="8" a="1"/>
  <c r="H7" i="8" s="1"/>
  <c r="H6" i="8" a="1"/>
  <c r="H6" i="8" s="1"/>
  <c r="H5" i="8" a="1"/>
  <c r="H5" i="8" s="1"/>
  <c r="H4" i="8" a="1"/>
  <c r="H4" i="8" s="1"/>
  <c r="H3" i="8" a="1"/>
  <c r="H3" i="8" s="1"/>
  <c r="H2" i="8" a="1"/>
  <c r="H2" i="8" s="1"/>
  <c r="H3" i="9" a="1"/>
  <c r="H3" i="9" s="1"/>
  <c r="H2" i="9" a="1"/>
  <c r="H2" i="9" s="1"/>
  <c r="H3" i="10" a="1"/>
  <c r="H3" i="10" s="1"/>
  <c r="H2" i="10" a="1"/>
  <c r="H2" i="10" s="1"/>
  <c r="H8" i="11" a="1"/>
  <c r="H8" i="11" s="1"/>
  <c r="H7" i="11" a="1"/>
  <c r="H7" i="11" s="1"/>
  <c r="H6" i="11" a="1"/>
  <c r="H6" i="11" s="1"/>
  <c r="H5" i="11" a="1"/>
  <c r="H5" i="11" s="1"/>
  <c r="H4" i="11" a="1"/>
  <c r="H4" i="11" s="1"/>
  <c r="H3" i="11" a="1"/>
  <c r="H3" i="11" s="1"/>
  <c r="H2" i="11" a="1"/>
  <c r="H2" i="11" s="1"/>
  <c r="H8" i="12" a="1"/>
  <c r="H8" i="12" s="1"/>
  <c r="H7" i="12" a="1"/>
  <c r="H7" i="12" s="1"/>
  <c r="H6" i="12" a="1"/>
  <c r="H6" i="12" s="1"/>
  <c r="H5" i="12" a="1"/>
  <c r="H5" i="12" s="1"/>
  <c r="H4" i="12" a="1"/>
  <c r="H4" i="12" s="1"/>
  <c r="H3" i="12" a="1"/>
  <c r="H3" i="12" s="1"/>
  <c r="H2" i="12" a="1"/>
  <c r="H2" i="12" s="1"/>
  <c r="H11" i="13"/>
  <c r="H11" i="13" a="1"/>
  <c r="H10" i="13" a="1"/>
  <c r="H10" i="13" s="1"/>
  <c r="H9" i="13" a="1"/>
  <c r="H9" i="13" s="1"/>
  <c r="H8" i="13" a="1"/>
  <c r="H8" i="13" s="1"/>
  <c r="H7" i="13" a="1"/>
  <c r="H7" i="13" s="1"/>
  <c r="H6" i="13" a="1"/>
  <c r="H6" i="13" s="1"/>
  <c r="H5" i="13" a="1"/>
  <c r="H5" i="13" s="1"/>
  <c r="H4" i="13" a="1"/>
  <c r="H4" i="13" s="1"/>
  <c r="H3" i="13"/>
  <c r="H3" i="13" a="1"/>
  <c r="H2" i="13" a="1"/>
  <c r="H2" i="13"/>
  <c r="G11" i="13"/>
  <c r="G10" i="13"/>
  <c r="G3" i="13"/>
  <c r="G9" i="13"/>
  <c r="G8" i="13"/>
  <c r="G7" i="13"/>
  <c r="G6" i="13"/>
  <c r="G5" i="13"/>
  <c r="G4" i="13"/>
  <c r="G2" i="13"/>
  <c r="H1" i="13"/>
  <c r="G1" i="13" a="1"/>
  <c r="G1" i="13" s="1"/>
  <c r="G8" i="12"/>
  <c r="G7" i="12"/>
  <c r="G3" i="12"/>
  <c r="G6" i="12"/>
  <c r="G5" i="12"/>
  <c r="G4" i="12"/>
  <c r="G2" i="12"/>
  <c r="H1" i="12"/>
  <c r="G1" i="12" a="1"/>
  <c r="G1" i="12" s="1"/>
  <c r="G8" i="11"/>
  <c r="G7" i="11"/>
  <c r="G3" i="11"/>
  <c r="G6" i="11"/>
  <c r="G5" i="11"/>
  <c r="G4" i="11"/>
  <c r="G2" i="11"/>
  <c r="H1" i="11"/>
  <c r="G1" i="11" a="1"/>
  <c r="G1" i="11" s="1"/>
  <c r="G3" i="10"/>
  <c r="G2" i="10"/>
  <c r="H1" i="10"/>
  <c r="G1" i="10" a="1"/>
  <c r="G1" i="10" s="1"/>
  <c r="G3" i="9"/>
  <c r="G2" i="9"/>
  <c r="H1" i="9"/>
  <c r="G1" i="9" a="1"/>
  <c r="G1" i="9" s="1"/>
  <c r="G8" i="8"/>
  <c r="G7" i="8"/>
  <c r="G3" i="8"/>
  <c r="G6" i="8"/>
  <c r="G5" i="8"/>
  <c r="G4" i="8"/>
  <c r="G2" i="8"/>
  <c r="H1" i="8"/>
  <c r="G1" i="8" a="1"/>
  <c r="G1" i="8" s="1"/>
  <c r="G7" i="7"/>
  <c r="G6" i="7"/>
  <c r="G5" i="7"/>
  <c r="G4" i="7"/>
  <c r="G3" i="7"/>
  <c r="G2" i="7"/>
  <c r="G7" i="6"/>
  <c r="G6" i="6"/>
  <c r="G5" i="6"/>
  <c r="G4" i="6"/>
  <c r="G3" i="6"/>
  <c r="G2" i="6"/>
  <c r="G3" i="5"/>
  <c r="G2" i="5"/>
  <c r="G6" i="4"/>
  <c r="G5" i="4"/>
  <c r="G4" i="4"/>
  <c r="G3" i="4"/>
  <c r="G2" i="4"/>
  <c r="G12" i="2"/>
  <c r="G10" i="2"/>
  <c r="G9" i="2"/>
  <c r="G8" i="2"/>
  <c r="G7" i="2"/>
  <c r="G6" i="2"/>
  <c r="G5" i="2"/>
  <c r="G4" i="2"/>
  <c r="G3" i="2"/>
  <c r="G2" i="2"/>
  <c r="H1" i="7"/>
  <c r="G1" i="7" a="1"/>
  <c r="G1" i="7" s="1"/>
  <c r="H1" i="6"/>
  <c r="G1" i="6" a="1"/>
  <c r="G1" i="6" s="1"/>
  <c r="H1" i="5"/>
  <c r="H1" i="4"/>
  <c r="H1" i="2"/>
  <c r="G1" i="2" a="1"/>
  <c r="G1" i="2" s="1"/>
  <c r="C19" i="1"/>
  <c r="C20" i="1"/>
  <c r="C16" i="1"/>
  <c r="C17" i="1"/>
  <c r="C22" i="1"/>
  <c r="C21" i="1"/>
  <c r="C18" i="1"/>
  <c r="C15" i="1"/>
  <c r="C14" i="1"/>
  <c r="C6" i="1"/>
  <c r="C11" i="1"/>
  <c r="C10" i="1"/>
  <c r="C5" i="1"/>
  <c r="C12" i="1"/>
  <c r="C7" i="1"/>
  <c r="C3" i="1"/>
  <c r="C8" i="1"/>
  <c r="C9" i="1"/>
  <c r="C4" i="1"/>
  <c r="C13" i="1"/>
  <c r="C2" i="1"/>
  <c r="F22" i="1" a="1"/>
  <c r="F10" i="1" a="1"/>
  <c r="F12" i="1" a="1"/>
  <c r="F18" i="1" a="1"/>
  <c r="F8" i="1" a="1"/>
  <c r="F15" i="1" a="1"/>
  <c r="F6" i="1" a="1"/>
  <c r="F17" i="1" a="1"/>
  <c r="F20" i="1" a="1"/>
  <c r="F2" i="1" a="1"/>
  <c r="F7" i="1" a="1"/>
  <c r="F4" i="1" a="1"/>
  <c r="F19" i="1" a="1"/>
  <c r="F21" i="1" a="1"/>
  <c r="F3" i="1" a="1"/>
  <c r="F13" i="1" a="1"/>
  <c r="F14" i="1" a="1"/>
  <c r="F16" i="1" a="1"/>
  <c r="F5" i="1" a="1"/>
  <c r="F11" i="1" a="1"/>
  <c r="F9" i="1" a="1"/>
  <c r="F9" i="1" l="1"/>
  <c r="G9" i="1" s="1"/>
  <c r="H9" i="1" s="1"/>
  <c r="F11" i="1"/>
  <c r="G11" i="1" s="1"/>
  <c r="H11" i="1" s="1"/>
  <c r="F12" i="1"/>
  <c r="G12" i="1" s="1"/>
  <c r="H12" i="1" s="1"/>
  <c r="F5" i="1"/>
  <c r="G5" i="1" s="1"/>
  <c r="H5" i="1" s="1"/>
  <c r="F13" i="1"/>
  <c r="G13" i="1" s="1"/>
  <c r="H13" i="1" s="1"/>
  <c r="F21" i="1"/>
  <c r="G21" i="1" s="1"/>
  <c r="H21" i="1" s="1"/>
  <c r="F17" i="1"/>
  <c r="G17" i="1" s="1"/>
  <c r="H17" i="1" s="1"/>
  <c r="F18" i="1"/>
  <c r="G18" i="1" s="1"/>
  <c r="H18" i="1" s="1"/>
  <c r="F3" i="1"/>
  <c r="G3" i="1" s="1"/>
  <c r="H3" i="1" s="1"/>
  <c r="F20" i="1"/>
  <c r="G20" i="1" s="1"/>
  <c r="H20" i="1" s="1"/>
  <c r="F6" i="1"/>
  <c r="G6" i="1" s="1"/>
  <c r="H6" i="1" s="1"/>
  <c r="F19" i="1"/>
  <c r="G19" i="1" s="1"/>
  <c r="H19" i="1" s="1"/>
  <c r="F4" i="1"/>
  <c r="G4" i="1" s="1"/>
  <c r="H4" i="1" s="1"/>
  <c r="F7" i="1"/>
  <c r="G7" i="1" s="1"/>
  <c r="H7" i="1" s="1"/>
  <c r="F15" i="1"/>
  <c r="G15" i="1" s="1"/>
  <c r="H15" i="1" s="1"/>
  <c r="F10" i="1"/>
  <c r="G10" i="1" s="1"/>
  <c r="H10" i="1" s="1"/>
  <c r="F22" i="1"/>
  <c r="G22" i="1" s="1"/>
  <c r="H22" i="1" s="1"/>
  <c r="F8" i="1"/>
  <c r="G8" i="1" s="1"/>
  <c r="H8" i="1" s="1"/>
  <c r="F16" i="1"/>
  <c r="G16" i="1" s="1"/>
  <c r="H16" i="1" s="1"/>
  <c r="F14" i="1"/>
  <c r="G14" i="1" s="1"/>
  <c r="H14" i="1" s="1"/>
  <c r="F2" i="1"/>
  <c r="G2" i="1" s="1"/>
  <c r="H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<sst xmlns="http://schemas.openxmlformats.org/spreadsheetml/2006/main" count="575" uniqueCount="140">
  <si>
    <t>name</t>
  </si>
  <si>
    <t>django_migrations</t>
  </si>
  <si>
    <t>sqlite_sequence</t>
  </si>
  <si>
    <t>auth_group_permissions</t>
  </si>
  <si>
    <t>auth_user_groups</t>
  </si>
  <si>
    <t>auth_user_user_permissions</t>
  </si>
  <si>
    <t>django_admin_log</t>
  </si>
  <si>
    <t>django_content_type</t>
  </si>
  <si>
    <t>auth_permission</t>
  </si>
  <si>
    <t>auth_group</t>
  </si>
  <si>
    <t>auth_user</t>
  </si>
  <si>
    <t>online_learning_platform_student</t>
  </si>
  <si>
    <t>online_learning_platform_teacher</t>
  </si>
  <si>
    <t>django_session</t>
  </si>
  <si>
    <t>teacher_examination</t>
  </si>
  <si>
    <t>teacher_lecturevideo</t>
  </si>
  <si>
    <t>online_learning_platform_account</t>
  </si>
  <si>
    <t>teacher_content</t>
  </si>
  <si>
    <t>teacher_coupon</t>
  </si>
  <si>
    <t>teacher_course</t>
  </si>
  <si>
    <t>teacher_examquestion</t>
  </si>
  <si>
    <t>teacher_examquestionchoice</t>
  </si>
  <si>
    <t>teacher_section</t>
  </si>
  <si>
    <t>student_coursepurchase</t>
  </si>
  <si>
    <t>student_courseattending</t>
  </si>
  <si>
    <t>student_examresult</t>
  </si>
  <si>
    <t>student_question</t>
  </si>
  <si>
    <t>student_comment</t>
  </si>
  <si>
    <t>student_contentattending</t>
  </si>
  <si>
    <t>student_sectionattending</t>
  </si>
  <si>
    <t>student_examresulthistory</t>
  </si>
  <si>
    <t>student_examresultdetail</t>
  </si>
  <si>
    <t>#</t>
    <phoneticPr fontId="1"/>
  </si>
  <si>
    <t>cid</t>
  </si>
  <si>
    <t>type</t>
  </si>
  <si>
    <t>notnull</t>
  </si>
  <si>
    <t>dflt_value</t>
  </si>
  <si>
    <t>pk</t>
  </si>
  <si>
    <t>id</t>
  </si>
  <si>
    <t>integer</t>
  </si>
  <si>
    <t>password</t>
  </si>
  <si>
    <t>varchar(128)</t>
  </si>
  <si>
    <t>last_login</t>
  </si>
  <si>
    <t>datetime</t>
  </si>
  <si>
    <t>is_superuser</t>
  </si>
  <si>
    <t>bool</t>
  </si>
  <si>
    <t>username</t>
  </si>
  <si>
    <t>varchar(150)</t>
  </si>
  <si>
    <t>last_name</t>
  </si>
  <si>
    <t>email</t>
  </si>
  <si>
    <t>varchar(254)</t>
  </si>
  <si>
    <t>is_staff</t>
  </si>
  <si>
    <t>is_active</t>
  </si>
  <si>
    <t>date_joined</t>
  </si>
  <si>
    <t>first_name</t>
  </si>
  <si>
    <t>user_ptr_id</t>
  </si>
  <si>
    <t>teacher_flag</t>
  </si>
  <si>
    <t>student_flag</t>
  </si>
  <si>
    <t>created_at</t>
  </si>
  <si>
    <t>updated_at</t>
  </si>
  <si>
    <t>account_ptr_id</t>
  </si>
  <si>
    <t>profile</t>
  </si>
  <si>
    <t>text</t>
  </si>
  <si>
    <t>course_name</t>
  </si>
  <si>
    <t>varchar(15)</t>
  </si>
  <si>
    <t>standard_price</t>
  </si>
  <si>
    <t>teacher_id</t>
  </si>
  <si>
    <t>section_no</t>
  </si>
  <si>
    <t>section_name</t>
  </si>
  <si>
    <t>course_id</t>
  </si>
  <si>
    <t>bigint</t>
  </si>
  <si>
    <t>content_no</t>
  </si>
  <si>
    <t>content_name</t>
  </si>
  <si>
    <t>content_flag</t>
  </si>
  <si>
    <t>section_id</t>
  </si>
  <si>
    <t>content_ptr_id</t>
  </si>
  <si>
    <t>lecture_time</t>
  </si>
  <si>
    <t>answer_limit_time</t>
  </si>
  <si>
    <t>question_no</t>
  </si>
  <si>
    <t>question_text</t>
  </si>
  <si>
    <t>score</t>
  </si>
  <si>
    <t>exam_id</t>
  </si>
  <si>
    <t>choice_no</t>
  </si>
  <si>
    <t>choice_text</t>
  </si>
  <si>
    <t>correct_answer_flag</t>
  </si>
  <si>
    <t>question_id</t>
  </si>
  <si>
    <t>discount_rate</t>
  </si>
  <si>
    <t>decimal</t>
  </si>
  <si>
    <t>discount_amount</t>
  </si>
  <si>
    <t>applying_start_date</t>
  </si>
  <si>
    <t>date</t>
  </si>
  <si>
    <t>applying_end_date</t>
  </si>
  <si>
    <t>available_count</t>
  </si>
  <si>
    <t>coupon_issuing_date</t>
  </si>
  <si>
    <t>pay_info</t>
  </si>
  <si>
    <t>purchase_date</t>
  </si>
  <si>
    <t>purchase_price</t>
  </si>
  <si>
    <t>coupon_id</t>
  </si>
  <si>
    <t>student_id</t>
  </si>
  <si>
    <t>flag</t>
  </si>
  <si>
    <t>start_time</t>
  </si>
  <si>
    <t>complete_time</t>
  </si>
  <si>
    <t>feedback</t>
  </si>
  <si>
    <t>five_stage_rating</t>
  </si>
  <si>
    <t>content_id</t>
  </si>
  <si>
    <t>contentattending_ptr_id</t>
  </si>
  <si>
    <t>high_score</t>
  </si>
  <si>
    <t>choice_id</t>
  </si>
  <si>
    <t>result_id</t>
  </si>
  <si>
    <t>exam_execution_time</t>
  </si>
  <si>
    <t>total_score</t>
  </si>
  <si>
    <t>question_title</t>
  </si>
  <si>
    <t>question_time</t>
  </si>
  <si>
    <t>comment_text</t>
  </si>
  <si>
    <t>comment_time</t>
  </si>
  <si>
    <t>company_company</t>
  </si>
  <si>
    <t>company_group</t>
  </si>
  <si>
    <t>company_trainingcurriculum</t>
  </si>
  <si>
    <t>company_name</t>
  </si>
  <si>
    <t>student_ptr_id</t>
  </si>
  <si>
    <t>company_id</t>
  </si>
  <si>
    <t>group_no</t>
  </si>
  <si>
    <t>group_name</t>
  </si>
  <si>
    <t>training_curriculum_no</t>
  </si>
  <si>
    <t>training_curriculum_name</t>
  </si>
  <si>
    <t>SELECT * FROM sqlite_master WHERE type = 'table' ORDER BY rootpage;</t>
  </si>
  <si>
    <t>company_trainingcurriculumcourse</t>
    <phoneticPr fontId="1"/>
  </si>
  <si>
    <t>company_groupstudent</t>
    <phoneticPr fontId="1"/>
  </si>
  <si>
    <t>company_groupcurriculum</t>
    <phoneticPr fontId="1"/>
  </si>
  <si>
    <t>company_trainingcurriculumexam</t>
    <phoneticPr fontId="1"/>
  </si>
  <si>
    <t>company_corporateattendingstudentcurriculum</t>
    <phoneticPr fontId="1"/>
  </si>
  <si>
    <t>company_corporateattendingstudent</t>
    <phoneticPr fontId="1"/>
  </si>
  <si>
    <t>attending_order</t>
  </si>
  <si>
    <t>curriculum_id</t>
  </si>
  <si>
    <t>group_id</t>
  </si>
  <si>
    <t>date_startable_attending</t>
  </si>
  <si>
    <t>attending_complete_deadline_date</t>
  </si>
  <si>
    <t>training_curriculum_attending_start_time</t>
  </si>
  <si>
    <t>training_curriculum_attending_complete_time</t>
  </si>
  <si>
    <t>passing_base_point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</si>
</sst>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5DE85-623F-4E34-8575-3A456072FA0C}">
  <sheetPr codeName="Sheet1"/>
  <dimension ref="A1:H41"/>
  <sheetViews>
    <sheetView tabSelected="1" workbookViewId="0">
      <pane ySplit="1" topLeftCell="A2" activePane="bottomLeft" state="frozen"/>
      <selection pane="bottomLeft"/>
    </sheetView>
  </sheetViews>
  <sheetFormatPr defaultRowHeight="18" x14ac:dyDescent="0.55000000000000004"/>
  <cols>
    <col min="1" max="1" width="3.1640625" bestFit="1" customWidth="1"/>
    <col min="2" max="2" width="45.5" bestFit="1" customWidth="1"/>
    <col min="3" max="3" width="53.1640625" bestFit="1" customWidth="1"/>
  </cols>
  <sheetData>
    <row r="1" spans="1:8" x14ac:dyDescent="0.55000000000000004">
      <c r="A1" t="s">
        <v>32</v>
      </c>
      <c r="B1" t="s">
        <v>0</v>
      </c>
      <c r="C1" t="s">
        <v>125</v>
      </c>
    </row>
    <row r="2" spans="1:8" x14ac:dyDescent="0.55000000000000004">
      <c r="A2">
        <v>0</v>
      </c>
      <c r="B2" t="s">
        <v>10</v>
      </c>
      <c r="C2" t="str">
        <f t="shared" ref="C2:C22" si="0">"PRAGMA table_info('"&amp;$B2&amp;"');"</f>
        <v>PRAGMA table_info('auth_user');</v>
      </c>
      <c r="D2" t="str">
        <f t="shared" ref="D2:D22" si="1">"SELECT * FROM "&amp;$B2&amp;";"</f>
        <v>SELECT * FROM auth_user;</v>
      </c>
      <c r="E2" t="str">
        <f t="shared" ref="E2:E22" si="2">"DELETE FROM "&amp;$B2&amp;";"</f>
        <v>DELETE FROM auth_user;</v>
      </c>
      <c r="F2" t="str" cm="1">
        <f t="array" aca="1" ref="F2" ca="1">INDIRECT("'"&amp;LEFT($B2,31)&amp;"'!$B$2")</f>
        <v>id</v>
      </c>
      <c r="G2" t="str">
        <f t="shared" ref="G2:G22" ca="1" si="3">IF($F2="id","UPDATE sqlite_sequence SET seq = 0 WHERE name = '"&amp;$B2&amp;"';","")</f>
        <v>UPDATE sqlite_sequence SET seq = 0 WHERE name = 'auth_user';</v>
      </c>
      <c r="H2" t="str">
        <f t="shared" ref="H2:H22" ca="1" si="4">$E2&amp;CHAR(10)&amp;$G2</f>
        <v>DELETE FROM auth_user;
UPDATE sqlite_sequence SET seq = 0 WHERE name = 'auth_user';</v>
      </c>
    </row>
    <row r="3" spans="1:8" x14ac:dyDescent="0.55000000000000004">
      <c r="A3">
        <v>1</v>
      </c>
      <c r="B3" t="s">
        <v>16</v>
      </c>
      <c r="C3" t="str">
        <f t="shared" si="0"/>
        <v>PRAGMA table_info('online_learning_platform_account');</v>
      </c>
      <c r="D3" t="str">
        <f t="shared" si="1"/>
        <v>SELECT * FROM online_learning_platform_account;</v>
      </c>
      <c r="E3" t="str">
        <f t="shared" si="2"/>
        <v>DELETE FROM online_learning_platform_account;</v>
      </c>
      <c r="F3" t="str" cm="1">
        <f t="array" aca="1" ref="F3" ca="1">INDIRECT("'"&amp;LEFT($B3,31)&amp;"'!$B$2")</f>
        <v>user_ptr_id</v>
      </c>
      <c r="G3" t="str">
        <f t="shared" ca="1" si="3"/>
        <v/>
      </c>
      <c r="H3" t="str">
        <f t="shared" ca="1" si="4"/>
        <v xml:space="preserve">DELETE FROM online_learning_platform_account;
</v>
      </c>
    </row>
    <row r="4" spans="1:8" x14ac:dyDescent="0.55000000000000004">
      <c r="A4">
        <v>2</v>
      </c>
      <c r="B4" t="s">
        <v>12</v>
      </c>
      <c r="C4" t="str">
        <f t="shared" si="0"/>
        <v>PRAGMA table_info('online_learning_platform_teacher');</v>
      </c>
      <c r="D4" t="str">
        <f t="shared" si="1"/>
        <v>SELECT * FROM online_learning_platform_teacher;</v>
      </c>
      <c r="E4" t="str">
        <f t="shared" si="2"/>
        <v>DELETE FROM online_learning_platform_teacher;</v>
      </c>
      <c r="F4" t="str" cm="1">
        <f t="array" aca="1" ref="F4" ca="1">INDIRECT("'"&amp;LEFT($B4,31)&amp;"'!$B$2")</f>
        <v>account_ptr_id</v>
      </c>
      <c r="G4" t="str">
        <f t="shared" ca="1" si="3"/>
        <v/>
      </c>
      <c r="H4" t="str">
        <f t="shared" ca="1" si="4"/>
        <v xml:space="preserve">DELETE FROM online_learning_platform_teacher;
</v>
      </c>
    </row>
    <row r="5" spans="1:8" x14ac:dyDescent="0.55000000000000004">
      <c r="A5">
        <v>3</v>
      </c>
      <c r="B5" t="s">
        <v>19</v>
      </c>
      <c r="C5" t="str">
        <f t="shared" si="0"/>
        <v>PRAGMA table_info('teacher_course');</v>
      </c>
      <c r="D5" t="str">
        <f t="shared" si="1"/>
        <v>SELECT * FROM teacher_course;</v>
      </c>
      <c r="E5" t="str">
        <f t="shared" si="2"/>
        <v>DELETE FROM teacher_course;</v>
      </c>
      <c r="F5" t="str" cm="1">
        <f t="array" aca="1" ref="F5" ca="1">INDIRECT("'"&amp;LEFT($B5,31)&amp;"'!$B$2")</f>
        <v>id</v>
      </c>
      <c r="G5" t="str">
        <f t="shared" ca="1" si="3"/>
        <v>UPDATE sqlite_sequence SET seq = 0 WHERE name = 'teacher_course';</v>
      </c>
      <c r="H5" t="str">
        <f t="shared" ca="1" si="4"/>
        <v>DELETE FROM teacher_course;
UPDATE sqlite_sequence SET seq = 0 WHERE name = 'teacher_course';</v>
      </c>
    </row>
    <row r="6" spans="1:8" x14ac:dyDescent="0.55000000000000004">
      <c r="A6">
        <v>4</v>
      </c>
      <c r="B6" t="s">
        <v>22</v>
      </c>
      <c r="C6" t="str">
        <f t="shared" si="0"/>
        <v>PRAGMA table_info('teacher_section');</v>
      </c>
      <c r="D6" t="str">
        <f t="shared" si="1"/>
        <v>SELECT * FROM teacher_section;</v>
      </c>
      <c r="E6" t="str">
        <f t="shared" si="2"/>
        <v>DELETE FROM teacher_section;</v>
      </c>
      <c r="F6" t="str" cm="1">
        <f t="array" aca="1" ref="F6" ca="1">INDIRECT("'"&amp;LEFT($B6,31)&amp;"'!$B$2")</f>
        <v>id</v>
      </c>
      <c r="G6" t="str">
        <f t="shared" ca="1" si="3"/>
        <v>UPDATE sqlite_sequence SET seq = 0 WHERE name = 'teacher_section';</v>
      </c>
      <c r="H6" t="str">
        <f t="shared" ca="1" si="4"/>
        <v>DELETE FROM teacher_section;
UPDATE sqlite_sequence SET seq = 0 WHERE name = 'teacher_section';</v>
      </c>
    </row>
    <row r="7" spans="1:8" x14ac:dyDescent="0.55000000000000004">
      <c r="A7">
        <v>5</v>
      </c>
      <c r="B7" t="s">
        <v>17</v>
      </c>
      <c r="C7" t="str">
        <f t="shared" si="0"/>
        <v>PRAGMA table_info('teacher_content');</v>
      </c>
      <c r="D7" t="str">
        <f t="shared" si="1"/>
        <v>SELECT * FROM teacher_content;</v>
      </c>
      <c r="E7" t="str">
        <f t="shared" si="2"/>
        <v>DELETE FROM teacher_content;</v>
      </c>
      <c r="F7" t="str" cm="1">
        <f t="array" aca="1" ref="F7" ca="1">INDIRECT("'"&amp;LEFT($B7,31)&amp;"'!$B$2")</f>
        <v>id</v>
      </c>
      <c r="G7" t="str">
        <f t="shared" ca="1" si="3"/>
        <v>UPDATE sqlite_sequence SET seq = 0 WHERE name = 'teacher_content';</v>
      </c>
      <c r="H7" t="str">
        <f t="shared" ca="1" si="4"/>
        <v>DELETE FROM teacher_content;
UPDATE sqlite_sequence SET seq = 0 WHERE name = 'teacher_content';</v>
      </c>
    </row>
    <row r="8" spans="1:8" x14ac:dyDescent="0.55000000000000004">
      <c r="A8">
        <v>6</v>
      </c>
      <c r="B8" t="s">
        <v>15</v>
      </c>
      <c r="C8" t="str">
        <f t="shared" si="0"/>
        <v>PRAGMA table_info('teacher_lecturevideo');</v>
      </c>
      <c r="D8" t="str">
        <f t="shared" si="1"/>
        <v>SELECT * FROM teacher_lecturevideo;</v>
      </c>
      <c r="E8" t="str">
        <f t="shared" si="2"/>
        <v>DELETE FROM teacher_lecturevideo;</v>
      </c>
      <c r="F8" t="str" cm="1">
        <f t="array" aca="1" ref="F8" ca="1">INDIRECT("'"&amp;LEFT($B8,31)&amp;"'!$B$2")</f>
        <v>content_ptr_id</v>
      </c>
      <c r="G8" t="str">
        <f t="shared" ca="1" si="3"/>
        <v/>
      </c>
      <c r="H8" t="str">
        <f t="shared" ca="1" si="4"/>
        <v xml:space="preserve">DELETE FROM teacher_lecturevideo;
</v>
      </c>
    </row>
    <row r="9" spans="1:8" x14ac:dyDescent="0.55000000000000004">
      <c r="A9">
        <v>7</v>
      </c>
      <c r="B9" t="s">
        <v>14</v>
      </c>
      <c r="C9" t="str">
        <f t="shared" si="0"/>
        <v>PRAGMA table_info('teacher_examination');</v>
      </c>
      <c r="D9" t="str">
        <f t="shared" si="1"/>
        <v>SELECT * FROM teacher_examination;</v>
      </c>
      <c r="E9" t="str">
        <f t="shared" si="2"/>
        <v>DELETE FROM teacher_examination;</v>
      </c>
      <c r="F9" t="str" cm="1">
        <f t="array" aca="1" ref="F9" ca="1">INDIRECT("'"&amp;LEFT($B9,31)&amp;"'!$B$2")</f>
        <v>content_ptr_id</v>
      </c>
      <c r="G9" t="str">
        <f t="shared" ca="1" si="3"/>
        <v/>
      </c>
      <c r="H9" t="str">
        <f t="shared" ca="1" si="4"/>
        <v xml:space="preserve">DELETE FROM teacher_examination;
</v>
      </c>
    </row>
    <row r="10" spans="1:8" x14ac:dyDescent="0.55000000000000004">
      <c r="A10">
        <v>8</v>
      </c>
      <c r="B10" t="s">
        <v>20</v>
      </c>
      <c r="C10" t="str">
        <f t="shared" si="0"/>
        <v>PRAGMA table_info('teacher_examquestion');</v>
      </c>
      <c r="D10" t="str">
        <f t="shared" si="1"/>
        <v>SELECT * FROM teacher_examquestion;</v>
      </c>
      <c r="E10" t="str">
        <f t="shared" si="2"/>
        <v>DELETE FROM teacher_examquestion;</v>
      </c>
      <c r="F10" t="str" cm="1">
        <f t="array" aca="1" ref="F10" ca="1">INDIRECT("'"&amp;LEFT($B10,31)&amp;"'!$B$2")</f>
        <v>id</v>
      </c>
      <c r="G10" t="str">
        <f t="shared" ca="1" si="3"/>
        <v>UPDATE sqlite_sequence SET seq = 0 WHERE name = 'teacher_examquestion';</v>
      </c>
      <c r="H10" t="str">
        <f t="shared" ca="1" si="4"/>
        <v>DELETE FROM teacher_examquestion;
UPDATE sqlite_sequence SET seq = 0 WHERE name = 'teacher_examquestion';</v>
      </c>
    </row>
    <row r="11" spans="1:8" x14ac:dyDescent="0.55000000000000004">
      <c r="A11">
        <v>9</v>
      </c>
      <c r="B11" t="s">
        <v>21</v>
      </c>
      <c r="C11" t="str">
        <f t="shared" si="0"/>
        <v>PRAGMA table_info('teacher_examquestionchoice');</v>
      </c>
      <c r="D11" t="str">
        <f t="shared" si="1"/>
        <v>SELECT * FROM teacher_examquestionchoice;</v>
      </c>
      <c r="E11" t="str">
        <f t="shared" si="2"/>
        <v>DELETE FROM teacher_examquestionchoice;</v>
      </c>
      <c r="F11" t="str" cm="1">
        <f t="array" aca="1" ref="F11" ca="1">INDIRECT("'"&amp;LEFT($B11,31)&amp;"'!$B$2")</f>
        <v>id</v>
      </c>
      <c r="G11" t="str">
        <f t="shared" ca="1" si="3"/>
        <v>UPDATE sqlite_sequence SET seq = 0 WHERE name = 'teacher_examquestionchoice';</v>
      </c>
      <c r="H11" t="str">
        <f t="shared" ca="1" si="4"/>
        <v>DELETE FROM teacher_examquestionchoice;
UPDATE sqlite_sequence SET seq = 0 WHERE name = 'teacher_examquestionchoice';</v>
      </c>
    </row>
    <row r="12" spans="1:8" x14ac:dyDescent="0.55000000000000004">
      <c r="A12">
        <v>10</v>
      </c>
      <c r="B12" t="s">
        <v>18</v>
      </c>
      <c r="C12" t="str">
        <f t="shared" si="0"/>
        <v>PRAGMA table_info('teacher_coupon');</v>
      </c>
      <c r="D12" t="str">
        <f t="shared" si="1"/>
        <v>SELECT * FROM teacher_coupon;</v>
      </c>
      <c r="E12" t="str">
        <f t="shared" si="2"/>
        <v>DELETE FROM teacher_coupon;</v>
      </c>
      <c r="F12" t="str" cm="1">
        <f t="array" aca="1" ref="F12" ca="1">INDIRECT("'"&amp;LEFT($B12,31)&amp;"'!$B$2")</f>
        <v>id</v>
      </c>
      <c r="G12" t="str">
        <f t="shared" ca="1" si="3"/>
        <v>UPDATE sqlite_sequence SET seq = 0 WHERE name = 'teacher_coupon';</v>
      </c>
      <c r="H12" t="str">
        <f t="shared" ca="1" si="4"/>
        <v>DELETE FROM teacher_coupon;
UPDATE sqlite_sequence SET seq = 0 WHERE name = 'teacher_coupon';</v>
      </c>
    </row>
    <row r="13" spans="1:8" x14ac:dyDescent="0.55000000000000004">
      <c r="A13">
        <v>11</v>
      </c>
      <c r="B13" t="s">
        <v>11</v>
      </c>
      <c r="C13" t="str">
        <f t="shared" si="0"/>
        <v>PRAGMA table_info('online_learning_platform_student');</v>
      </c>
      <c r="D13" t="str">
        <f t="shared" si="1"/>
        <v>SELECT * FROM online_learning_platform_student;</v>
      </c>
      <c r="E13" t="str">
        <f t="shared" si="2"/>
        <v>DELETE FROM online_learning_platform_student;</v>
      </c>
      <c r="F13" t="str" cm="1">
        <f t="array" aca="1" ref="F13" ca="1">INDIRECT("'"&amp;LEFT($B13,31)&amp;"'!$B$2")</f>
        <v>account_ptr_id</v>
      </c>
      <c r="G13" t="str">
        <f t="shared" ca="1" si="3"/>
        <v/>
      </c>
      <c r="H13" t="str">
        <f t="shared" ca="1" si="4"/>
        <v xml:space="preserve">DELETE FROM online_learning_platform_student;
</v>
      </c>
    </row>
    <row r="14" spans="1:8" x14ac:dyDescent="0.55000000000000004">
      <c r="A14">
        <v>12</v>
      </c>
      <c r="B14" t="s">
        <v>23</v>
      </c>
      <c r="C14" t="str">
        <f t="shared" si="0"/>
        <v>PRAGMA table_info('student_coursepurchase');</v>
      </c>
      <c r="D14" t="str">
        <f t="shared" si="1"/>
        <v>SELECT * FROM student_coursepurchase;</v>
      </c>
      <c r="E14" t="str">
        <f t="shared" si="2"/>
        <v>DELETE FROM student_coursepurchase;</v>
      </c>
      <c r="F14" t="str" cm="1">
        <f t="array" aca="1" ref="F14" ca="1">INDIRECT("'"&amp;LEFT($B14,31)&amp;"'!$B$2")</f>
        <v>id</v>
      </c>
      <c r="G14" t="str">
        <f t="shared" ca="1" si="3"/>
        <v>UPDATE sqlite_sequence SET seq = 0 WHERE name = 'student_coursepurchase';</v>
      </c>
      <c r="H14" t="str">
        <f t="shared" ca="1" si="4"/>
        <v>DELETE FROM student_coursepurchase;
UPDATE sqlite_sequence SET seq = 0 WHERE name = 'student_coursepurchase';</v>
      </c>
    </row>
    <row r="15" spans="1:8" x14ac:dyDescent="0.55000000000000004">
      <c r="A15">
        <v>13</v>
      </c>
      <c r="B15" t="s">
        <v>24</v>
      </c>
      <c r="C15" t="str">
        <f t="shared" si="0"/>
        <v>PRAGMA table_info('student_courseattending');</v>
      </c>
      <c r="D15" t="str">
        <f t="shared" si="1"/>
        <v>SELECT * FROM student_courseattending;</v>
      </c>
      <c r="E15" t="str">
        <f t="shared" si="2"/>
        <v>DELETE FROM student_courseattending;</v>
      </c>
      <c r="F15" t="str" cm="1">
        <f t="array" aca="1" ref="F15" ca="1">INDIRECT("'"&amp;LEFT($B15,31)&amp;"'!$B$2")</f>
        <v>id</v>
      </c>
      <c r="G15" t="str">
        <f t="shared" ca="1" si="3"/>
        <v>UPDATE sqlite_sequence SET seq = 0 WHERE name = 'student_courseattending';</v>
      </c>
      <c r="H15" t="str">
        <f t="shared" ca="1" si="4"/>
        <v>DELETE FROM student_courseattending;
UPDATE sqlite_sequence SET seq = 0 WHERE name = 'student_courseattending';</v>
      </c>
    </row>
    <row r="16" spans="1:8" x14ac:dyDescent="0.55000000000000004">
      <c r="A16">
        <v>14</v>
      </c>
      <c r="B16" t="s">
        <v>29</v>
      </c>
      <c r="C16" t="str">
        <f t="shared" si="0"/>
        <v>PRAGMA table_info('student_sectionattending');</v>
      </c>
      <c r="D16" t="str">
        <f t="shared" si="1"/>
        <v>SELECT * FROM student_sectionattending;</v>
      </c>
      <c r="E16" t="str">
        <f t="shared" si="2"/>
        <v>DELETE FROM student_sectionattending;</v>
      </c>
      <c r="F16" t="str" cm="1">
        <f t="array" aca="1" ref="F16" ca="1">INDIRECT("'"&amp;LEFT($B16,31)&amp;"'!$B$2")</f>
        <v>id</v>
      </c>
      <c r="G16" t="str">
        <f t="shared" ca="1" si="3"/>
        <v>UPDATE sqlite_sequence SET seq = 0 WHERE name = 'student_sectionattending';</v>
      </c>
      <c r="H16" t="str">
        <f t="shared" ca="1" si="4"/>
        <v>DELETE FROM student_sectionattending;
UPDATE sqlite_sequence SET seq = 0 WHERE name = 'student_sectionattending';</v>
      </c>
    </row>
    <row r="17" spans="1:8" x14ac:dyDescent="0.55000000000000004">
      <c r="A17">
        <v>15</v>
      </c>
      <c r="B17" t="s">
        <v>28</v>
      </c>
      <c r="C17" t="str">
        <f t="shared" si="0"/>
        <v>PRAGMA table_info('student_contentattending');</v>
      </c>
      <c r="D17" t="str">
        <f t="shared" si="1"/>
        <v>SELECT * FROM student_contentattending;</v>
      </c>
      <c r="E17" t="str">
        <f t="shared" si="2"/>
        <v>DELETE FROM student_contentattending;</v>
      </c>
      <c r="F17" t="str" cm="1">
        <f t="array" aca="1" ref="F17" ca="1">INDIRECT("'"&amp;LEFT($B17,31)&amp;"'!$B$2")</f>
        <v>id</v>
      </c>
      <c r="G17" t="str">
        <f t="shared" ca="1" si="3"/>
        <v>UPDATE sqlite_sequence SET seq = 0 WHERE name = 'student_contentattending';</v>
      </c>
      <c r="H17" t="str">
        <f t="shared" ca="1" si="4"/>
        <v>DELETE FROM student_contentattending;
UPDATE sqlite_sequence SET seq = 0 WHERE name = 'student_contentattending';</v>
      </c>
    </row>
    <row r="18" spans="1:8" x14ac:dyDescent="0.55000000000000004">
      <c r="A18">
        <v>16</v>
      </c>
      <c r="B18" t="s">
        <v>25</v>
      </c>
      <c r="C18" t="str">
        <f t="shared" si="0"/>
        <v>PRAGMA table_info('student_examresult');</v>
      </c>
      <c r="D18" t="str">
        <f t="shared" si="1"/>
        <v>SELECT * FROM student_examresult;</v>
      </c>
      <c r="E18" t="str">
        <f t="shared" si="2"/>
        <v>DELETE FROM student_examresult;</v>
      </c>
      <c r="F18" t="str" cm="1">
        <f t="array" aca="1" ref="F18" ca="1">INDIRECT("'"&amp;LEFT($B18,31)&amp;"'!$B$2")</f>
        <v>contentattending_ptr_id</v>
      </c>
      <c r="G18" t="str">
        <f t="shared" ca="1" si="3"/>
        <v/>
      </c>
      <c r="H18" t="str">
        <f t="shared" ca="1" si="4"/>
        <v xml:space="preserve">DELETE FROM student_examresult;
</v>
      </c>
    </row>
    <row r="19" spans="1:8" x14ac:dyDescent="0.55000000000000004">
      <c r="A19">
        <v>17</v>
      </c>
      <c r="B19" t="s">
        <v>31</v>
      </c>
      <c r="C19" t="str">
        <f t="shared" si="0"/>
        <v>PRAGMA table_info('student_examresultdetail');</v>
      </c>
      <c r="D19" t="str">
        <f t="shared" si="1"/>
        <v>SELECT * FROM student_examresultdetail;</v>
      </c>
      <c r="E19" t="str">
        <f t="shared" si="2"/>
        <v>DELETE FROM student_examresultdetail;</v>
      </c>
      <c r="F19" t="str" cm="1">
        <f t="array" aca="1" ref="F19" ca="1">INDIRECT("'"&amp;LEFT($B19,31)&amp;"'!$B$2")</f>
        <v>id</v>
      </c>
      <c r="G19" t="str">
        <f t="shared" ca="1" si="3"/>
        <v>UPDATE sqlite_sequence SET seq = 0 WHERE name = 'student_examresultdetail';</v>
      </c>
      <c r="H19" t="str">
        <f t="shared" ca="1" si="4"/>
        <v>DELETE FROM student_examresultdetail;
UPDATE sqlite_sequence SET seq = 0 WHERE name = 'student_examresultdetail';</v>
      </c>
    </row>
    <row r="20" spans="1:8" x14ac:dyDescent="0.55000000000000004">
      <c r="A20">
        <v>18</v>
      </c>
      <c r="B20" t="s">
        <v>30</v>
      </c>
      <c r="C20" t="str">
        <f t="shared" si="0"/>
        <v>PRAGMA table_info('student_examresulthistory');</v>
      </c>
      <c r="D20" t="str">
        <f t="shared" si="1"/>
        <v>SELECT * FROM student_examresulthistory;</v>
      </c>
      <c r="E20" t="str">
        <f t="shared" si="2"/>
        <v>DELETE FROM student_examresulthistory;</v>
      </c>
      <c r="F20" t="str" cm="1">
        <f t="array" aca="1" ref="F20" ca="1">INDIRECT("'"&amp;LEFT($B20,31)&amp;"'!$B$2")</f>
        <v>id</v>
      </c>
      <c r="G20" t="str">
        <f t="shared" ca="1" si="3"/>
        <v>UPDATE sqlite_sequence SET seq = 0 WHERE name = 'student_examresulthistory';</v>
      </c>
      <c r="H20" t="str">
        <f t="shared" ca="1" si="4"/>
        <v>DELETE FROM student_examresulthistory;
UPDATE sqlite_sequence SET seq = 0 WHERE name = 'student_examresulthistory';</v>
      </c>
    </row>
    <row r="21" spans="1:8" x14ac:dyDescent="0.55000000000000004">
      <c r="A21">
        <v>19</v>
      </c>
      <c r="B21" t="s">
        <v>26</v>
      </c>
      <c r="C21" t="str">
        <f t="shared" si="0"/>
        <v>PRAGMA table_info('student_question');</v>
      </c>
      <c r="D21" t="str">
        <f t="shared" si="1"/>
        <v>SELECT * FROM student_question;</v>
      </c>
      <c r="E21" t="str">
        <f t="shared" si="2"/>
        <v>DELETE FROM student_question;</v>
      </c>
      <c r="F21" t="str" cm="1">
        <f t="array" aca="1" ref="F21" ca="1">INDIRECT("'"&amp;LEFT($B21,31)&amp;"'!$B$2")</f>
        <v>id</v>
      </c>
      <c r="G21" t="str">
        <f t="shared" ca="1" si="3"/>
        <v>UPDATE sqlite_sequence SET seq = 0 WHERE name = 'student_question';</v>
      </c>
      <c r="H21" t="str">
        <f t="shared" ca="1" si="4"/>
        <v>DELETE FROM student_question;
UPDATE sqlite_sequence SET seq = 0 WHERE name = 'student_question';</v>
      </c>
    </row>
    <row r="22" spans="1:8" x14ac:dyDescent="0.55000000000000004">
      <c r="A22">
        <v>20</v>
      </c>
      <c r="B22" t="s">
        <v>27</v>
      </c>
      <c r="C22" t="str">
        <f t="shared" si="0"/>
        <v>PRAGMA table_info('student_comment');</v>
      </c>
      <c r="D22" t="str">
        <f t="shared" si="1"/>
        <v>SELECT * FROM student_comment;</v>
      </c>
      <c r="E22" t="str">
        <f t="shared" si="2"/>
        <v>DELETE FROM student_comment;</v>
      </c>
      <c r="F22" t="str" cm="1">
        <f t="array" aca="1" ref="F22" ca="1">INDIRECT("'"&amp;LEFT($B22,31)&amp;"'!$B$2")</f>
        <v>id</v>
      </c>
      <c r="G22" t="str">
        <f t="shared" ca="1" si="3"/>
        <v>UPDATE sqlite_sequence SET seq = 0 WHERE name = 'student_comment';</v>
      </c>
      <c r="H22" t="str">
        <f t="shared" ca="1" si="4"/>
        <v>DELETE FROM student_comment;
UPDATE sqlite_sequence SET seq = 0 WHERE name = 'student_comment';</v>
      </c>
    </row>
    <row r="23" spans="1:8" x14ac:dyDescent="0.55000000000000004">
      <c r="A23">
        <v>21</v>
      </c>
      <c r="B23" t="s">
        <v>115</v>
      </c>
      <c r="C23" t="str">
        <f t="shared" ref="C23:C31" si="5">"PRAGMA table_info('"&amp;$B23&amp;"');"</f>
        <v>PRAGMA table_info('company_company');</v>
      </c>
      <c r="D23" t="str">
        <f t="shared" ref="D23:D31" si="6">"SELECT * FROM "&amp;$B23&amp;";"</f>
        <v>SELECT * FROM company_company;</v>
      </c>
      <c r="E23" t="str">
        <f t="shared" ref="E23:E31" si="7">"DELETE FROM "&amp;$B23&amp;";"</f>
        <v>DELETE FROM company_company;</v>
      </c>
      <c r="F23" t="str" cm="1">
        <f t="array" aca="1" ref="F23" ca="1">INDIRECT("'"&amp;LEFT($B23,31)&amp;"'!$B$2")</f>
        <v>id</v>
      </c>
      <c r="G23" t="str">
        <f t="shared" ref="G23:G31" ca="1" si="8">IF($F23="id","UPDATE sqlite_sequence SET seq = 0 WHERE name = '"&amp;$B23&amp;"';","")</f>
        <v>UPDATE sqlite_sequence SET seq = 0 WHERE name = 'company_company';</v>
      </c>
      <c r="H23" t="str">
        <f t="shared" ref="H23:H31" ca="1" si="9">$E23&amp;CHAR(10)&amp;$G23</f>
        <v>DELETE FROM company_company;
UPDATE sqlite_sequence SET seq = 0 WHERE name = 'company_company';</v>
      </c>
    </row>
    <row r="24" spans="1:8" x14ac:dyDescent="0.55000000000000004">
      <c r="A24">
        <v>22</v>
      </c>
      <c r="B24" t="s">
        <v>131</v>
      </c>
      <c r="C24" t="str">
        <f t="shared" si="5"/>
        <v>PRAGMA table_info('company_corporateattendingstudent');</v>
      </c>
      <c r="D24" t="str">
        <f t="shared" si="6"/>
        <v>SELECT * FROM company_corporateattendingstudent;</v>
      </c>
      <c r="E24" t="str">
        <f t="shared" si="7"/>
        <v>DELETE FROM company_corporateattendingstudent;</v>
      </c>
      <c r="F24" t="str" cm="1">
        <f t="array" aca="1" ref="F24" ca="1">INDIRECT("'"&amp;LEFT($B24,31)&amp;"'!$B$2")</f>
        <v>student_ptr_id</v>
      </c>
      <c r="G24" t="str">
        <f t="shared" ca="1" si="8"/>
        <v/>
      </c>
      <c r="H24" t="str">
        <f t="shared" ca="1" si="9"/>
        <v xml:space="preserve">DELETE FROM company_corporateattendingstudent;
</v>
      </c>
    </row>
    <row r="25" spans="1:8" x14ac:dyDescent="0.55000000000000004">
      <c r="A25">
        <v>23</v>
      </c>
      <c r="B25" t="s">
        <v>116</v>
      </c>
      <c r="C25" t="str">
        <f t="shared" si="5"/>
        <v>PRAGMA table_info('company_group');</v>
      </c>
      <c r="D25" t="str">
        <f t="shared" si="6"/>
        <v>SELECT * FROM company_group;</v>
      </c>
      <c r="E25" t="str">
        <f t="shared" si="7"/>
        <v>DELETE FROM company_group;</v>
      </c>
      <c r="F25" t="str" cm="1">
        <f t="array" aca="1" ref="F25" ca="1">INDIRECT("'"&amp;LEFT($B25,31)&amp;"'!$B$2")</f>
        <v>id</v>
      </c>
      <c r="G25" t="str">
        <f t="shared" ca="1" si="8"/>
        <v>UPDATE sqlite_sequence SET seq = 0 WHERE name = 'company_group';</v>
      </c>
      <c r="H25" t="str">
        <f t="shared" ca="1" si="9"/>
        <v>DELETE FROM company_group;
UPDATE sqlite_sequence SET seq = 0 WHERE name = 'company_group';</v>
      </c>
    </row>
    <row r="26" spans="1:8" x14ac:dyDescent="0.55000000000000004">
      <c r="A26">
        <v>24</v>
      </c>
      <c r="B26" t="s">
        <v>117</v>
      </c>
      <c r="C26" t="str">
        <f t="shared" si="5"/>
        <v>PRAGMA table_info('company_trainingcurriculum');</v>
      </c>
      <c r="D26" t="str">
        <f t="shared" si="6"/>
        <v>SELECT * FROM company_trainingcurriculum;</v>
      </c>
      <c r="E26" t="str">
        <f t="shared" si="7"/>
        <v>DELETE FROM company_trainingcurriculum;</v>
      </c>
      <c r="F26" t="str" cm="1">
        <f t="array" aca="1" ref="F26" ca="1">INDIRECT("'"&amp;LEFT($B26,31)&amp;"'!$B$2")</f>
        <v>id</v>
      </c>
      <c r="G26" t="str">
        <f t="shared" ca="1" si="8"/>
        <v>UPDATE sqlite_sequence SET seq = 0 WHERE name = 'company_trainingcurriculum';</v>
      </c>
      <c r="H26" t="str">
        <f t="shared" ca="1" si="9"/>
        <v>DELETE FROM company_trainingcurriculum;
UPDATE sqlite_sequence SET seq = 0 WHERE name = 'company_trainingcurriculum';</v>
      </c>
    </row>
    <row r="27" spans="1:8" x14ac:dyDescent="0.55000000000000004">
      <c r="A27">
        <v>25</v>
      </c>
      <c r="B27" t="s">
        <v>126</v>
      </c>
      <c r="C27" t="str">
        <f t="shared" si="5"/>
        <v>PRAGMA table_info('company_trainingcurriculumcourse');</v>
      </c>
      <c r="D27" t="str">
        <f t="shared" si="6"/>
        <v>SELECT * FROM company_trainingcurriculumcourse;</v>
      </c>
      <c r="E27" t="str">
        <f t="shared" si="7"/>
        <v>DELETE FROM company_trainingcurriculumcourse;</v>
      </c>
      <c r="F27" t="str" cm="1">
        <f t="array" aca="1" ref="F27" ca="1">INDIRECT("'"&amp;LEFT($B27,31)&amp;"'!$B$2")</f>
        <v>id</v>
      </c>
      <c r="G27" t="str">
        <f t="shared" ca="1" si="8"/>
        <v>UPDATE sqlite_sequence SET seq = 0 WHERE name = 'company_trainingcurriculumcourse';</v>
      </c>
      <c r="H27" t="str">
        <f t="shared" ca="1" si="9"/>
        <v>DELETE FROM company_trainingcurriculumcourse;
UPDATE sqlite_sequence SET seq = 0 WHERE name = 'company_trainingcurriculumcourse';</v>
      </c>
    </row>
    <row r="28" spans="1:8" x14ac:dyDescent="0.55000000000000004">
      <c r="A28">
        <v>26</v>
      </c>
      <c r="B28" t="s">
        <v>127</v>
      </c>
      <c r="C28" t="str">
        <f t="shared" si="5"/>
        <v>PRAGMA table_info('company_groupstudent');</v>
      </c>
      <c r="D28" t="str">
        <f t="shared" si="6"/>
        <v>SELECT * FROM company_groupstudent;</v>
      </c>
      <c r="E28" t="str">
        <f t="shared" si="7"/>
        <v>DELETE FROM company_groupstudent;</v>
      </c>
      <c r="F28" t="str" cm="1">
        <f t="array" aca="1" ref="F28" ca="1">INDIRECT("'"&amp;LEFT($B28,31)&amp;"'!$B$2")</f>
        <v>id</v>
      </c>
      <c r="G28" t="str">
        <f t="shared" ca="1" si="8"/>
        <v>UPDATE sqlite_sequence SET seq = 0 WHERE name = 'company_groupstudent';</v>
      </c>
      <c r="H28" t="str">
        <f t="shared" ca="1" si="9"/>
        <v>DELETE FROM company_groupstudent;
UPDATE sqlite_sequence SET seq = 0 WHERE name = 'company_groupstudent';</v>
      </c>
    </row>
    <row r="29" spans="1:8" x14ac:dyDescent="0.55000000000000004">
      <c r="A29">
        <v>27</v>
      </c>
      <c r="B29" t="s">
        <v>128</v>
      </c>
      <c r="C29" t="str">
        <f t="shared" si="5"/>
        <v>PRAGMA table_info('company_groupcurriculum');</v>
      </c>
      <c r="D29" t="str">
        <f t="shared" si="6"/>
        <v>SELECT * FROM company_groupcurriculum;</v>
      </c>
      <c r="E29" t="str">
        <f t="shared" si="7"/>
        <v>DELETE FROM company_groupcurriculum;</v>
      </c>
      <c r="F29" t="str" cm="1">
        <f t="array" aca="1" ref="F29" ca="1">INDIRECT("'"&amp;LEFT($B29,31)&amp;"'!$B$2")</f>
        <v>id</v>
      </c>
      <c r="G29" t="str">
        <f t="shared" ca="1" si="8"/>
        <v>UPDATE sqlite_sequence SET seq = 0 WHERE name = 'company_groupcurriculum';</v>
      </c>
      <c r="H29" t="str">
        <f t="shared" ca="1" si="9"/>
        <v>DELETE FROM company_groupcurriculum;
UPDATE sqlite_sequence SET seq = 0 WHERE name = 'company_groupcurriculum';</v>
      </c>
    </row>
    <row r="30" spans="1:8" x14ac:dyDescent="0.55000000000000004">
      <c r="A30">
        <v>28</v>
      </c>
      <c r="B30" t="s">
        <v>130</v>
      </c>
      <c r="C30" t="str">
        <f t="shared" si="5"/>
        <v>PRAGMA table_info('company_corporateattendingstudentcurriculum');</v>
      </c>
      <c r="D30" t="str">
        <f t="shared" si="6"/>
        <v>SELECT * FROM company_corporateattendingstudentcurriculum;</v>
      </c>
      <c r="E30" t="str">
        <f t="shared" si="7"/>
        <v>DELETE FROM company_corporateattendingstudentcurriculum;</v>
      </c>
      <c r="F30" t="str" cm="1">
        <f t="array" aca="1" ref="F30" ca="1">INDIRECT("'"&amp;RIGHT($B30,31)&amp;"'!$B$2")</f>
        <v>id</v>
      </c>
      <c r="G30" t="str">
        <f t="shared" ca="1" si="8"/>
        <v>UPDATE sqlite_sequence SET seq = 0 WHERE name = 'company_corporateattendingstudentcurriculum';</v>
      </c>
      <c r="H30" t="str">
        <f t="shared" ca="1" si="9"/>
        <v>DELETE FROM company_corporateattendingstudentcurriculum;
UPDATE sqlite_sequence SET seq = 0 WHERE name = 'company_corporateattendingstudentcurriculum';</v>
      </c>
    </row>
    <row r="31" spans="1:8" x14ac:dyDescent="0.55000000000000004">
      <c r="A31">
        <v>29</v>
      </c>
      <c r="B31" t="s">
        <v>129</v>
      </c>
      <c r="C31" t="str">
        <f t="shared" si="5"/>
        <v>PRAGMA table_info('company_trainingcurriculumexam');</v>
      </c>
      <c r="D31" t="str">
        <f t="shared" si="6"/>
        <v>SELECT * FROM company_trainingcurriculumexam;</v>
      </c>
      <c r="E31" t="str">
        <f t="shared" si="7"/>
        <v>DELETE FROM company_trainingcurriculumexam;</v>
      </c>
      <c r="F31" t="str" cm="1">
        <f t="array" aca="1" ref="F31" ca="1">INDIRECT("'"&amp;LEFT($B31,31)&amp;"'!$B$2")</f>
        <v>id</v>
      </c>
      <c r="G31" t="str">
        <f t="shared" ca="1" si="8"/>
        <v>UPDATE sqlite_sequence SET seq = 0 WHERE name = 'company_trainingcurriculumexam';</v>
      </c>
      <c r="H31" t="str">
        <f t="shared" ca="1" si="9"/>
        <v>DELETE FROM company_trainingcurriculumexam;
UPDATE sqlite_sequence SET seq = 0 WHERE name = 'company_trainingcurriculumexam';</v>
      </c>
    </row>
    <row r="32" spans="1:8" x14ac:dyDescent="0.55000000000000004">
      <c r="B32" t="s">
        <v>1</v>
      </c>
    </row>
    <row r="33" spans="2:2" x14ac:dyDescent="0.55000000000000004">
      <c r="B33" t="s">
        <v>2</v>
      </c>
    </row>
    <row r="34" spans="2:2" x14ac:dyDescent="0.55000000000000004">
      <c r="B34" t="s">
        <v>3</v>
      </c>
    </row>
    <row r="35" spans="2:2" x14ac:dyDescent="0.55000000000000004">
      <c r="B35" t="s">
        <v>4</v>
      </c>
    </row>
    <row r="36" spans="2:2" x14ac:dyDescent="0.55000000000000004">
      <c r="B36" t="s">
        <v>5</v>
      </c>
    </row>
    <row r="37" spans="2:2" x14ac:dyDescent="0.55000000000000004">
      <c r="B37" t="s">
        <v>6</v>
      </c>
    </row>
    <row r="38" spans="2:2" x14ac:dyDescent="0.55000000000000004">
      <c r="B38" t="s">
        <v>7</v>
      </c>
    </row>
    <row r="39" spans="2:2" x14ac:dyDescent="0.55000000000000004">
      <c r="B39" t="s">
        <v>8</v>
      </c>
    </row>
    <row r="40" spans="2:2" x14ac:dyDescent="0.55000000000000004">
      <c r="B40" t="s">
        <v>9</v>
      </c>
    </row>
    <row r="41" spans="2:2" x14ac:dyDescent="0.55000000000000004">
      <c r="B41" t="s">
        <v>13</v>
      </c>
    </row>
  </sheetData>
  <sortState xmlns:xlrd2="http://schemas.microsoft.com/office/spreadsheetml/2017/richdata2" ref="A2:H27">
    <sortCondition ref="A2:A27"/>
  </sortState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06042-8B75-4AB0-9292-DE912B33E0F8}">
  <sheetPr codeName="Sheet2"/>
  <dimension ref="A1:H1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auth_user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46</v>
      </c>
      <c r="C3" t="s">
        <v>47</v>
      </c>
      <c r="D3">
        <v>1</v>
      </c>
      <c r="F3">
        <v>0</v>
      </c>
      <c r="G3" t="str">
        <f t="shared" ref="G3:G12" si="0">IF($D3,$B3&amp;IF($B3="updated_at",") ",", "),"")</f>
        <v xml:space="preserve">username,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'', </v>
      </c>
    </row>
    <row r="4" spans="1:8" x14ac:dyDescent="0.55000000000000004">
      <c r="A4">
        <v>2</v>
      </c>
      <c r="B4" t="s">
        <v>40</v>
      </c>
      <c r="C4" t="s">
        <v>41</v>
      </c>
      <c r="D4">
        <v>1</v>
      </c>
      <c r="F4">
        <v>0</v>
      </c>
      <c r="G4" t="str">
        <f t="shared" si="0"/>
        <v xml:space="preserve">password,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'', </v>
      </c>
    </row>
    <row r="5" spans="1:8" x14ac:dyDescent="0.55000000000000004">
      <c r="A5">
        <v>3</v>
      </c>
      <c r="B5" t="s">
        <v>54</v>
      </c>
      <c r="C5" t="s">
        <v>47</v>
      </c>
      <c r="D5">
        <v>1</v>
      </c>
      <c r="F5">
        <v>0</v>
      </c>
      <c r="G5" t="str">
        <f t="shared" si="0"/>
        <v xml:space="preserve">first_name,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'', </v>
      </c>
    </row>
    <row r="6" spans="1:8" x14ac:dyDescent="0.55000000000000004">
      <c r="A6">
        <v>4</v>
      </c>
      <c r="B6" t="s">
        <v>48</v>
      </c>
      <c r="C6" t="s">
        <v>47</v>
      </c>
      <c r="D6">
        <v>1</v>
      </c>
      <c r="F6">
        <v>0</v>
      </c>
      <c r="G6" t="str">
        <f t="shared" si="0"/>
        <v xml:space="preserve">last_name,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'', </v>
      </c>
    </row>
    <row r="7" spans="1:8" x14ac:dyDescent="0.55000000000000004">
      <c r="A7">
        <v>5</v>
      </c>
      <c r="B7" t="s">
        <v>49</v>
      </c>
      <c r="C7" t="s">
        <v>50</v>
      </c>
      <c r="D7">
        <v>1</v>
      </c>
      <c r="F7">
        <v>0</v>
      </c>
      <c r="G7" t="str">
        <f t="shared" si="0"/>
        <v xml:space="preserve">email,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'', </v>
      </c>
    </row>
    <row r="8" spans="1:8" x14ac:dyDescent="0.55000000000000004">
      <c r="A8">
        <v>6</v>
      </c>
      <c r="B8" t="s">
        <v>44</v>
      </c>
      <c r="C8" t="s">
        <v>45</v>
      </c>
      <c r="D8">
        <v>1</v>
      </c>
      <c r="F8">
        <v>0</v>
      </c>
      <c r="G8" t="str">
        <f t="shared" si="0"/>
        <v xml:space="preserve">is_superuser,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 xml:space="preserve">FALSE, </v>
      </c>
    </row>
    <row r="9" spans="1:8" x14ac:dyDescent="0.55000000000000004">
      <c r="A9">
        <v>7</v>
      </c>
      <c r="B9" t="s">
        <v>51</v>
      </c>
      <c r="C9" t="s">
        <v>45</v>
      </c>
      <c r="D9">
        <v>1</v>
      </c>
      <c r="F9">
        <v>0</v>
      </c>
      <c r="G9" t="str">
        <f t="shared" si="0"/>
        <v xml:space="preserve">is_staff, </v>
      </c>
      <c r="H9" t="str" cm="1">
        <f t="array" ref="H9">IF($D9,IF(ISBLANK($E9),_xlfn.SWITCH($C9,"integer",0,"bigint",0,"decimal",0,"bool",FALSE,"date","'0001-01-01'","datetime","'0001-01-01 00:00:00'","''"),$E9)&amp;IF($B9="updated_at",");",", "),"")</f>
        <v xml:space="preserve">FALSE, </v>
      </c>
    </row>
    <row r="10" spans="1:8" x14ac:dyDescent="0.55000000000000004">
      <c r="A10">
        <v>8</v>
      </c>
      <c r="B10" t="s">
        <v>52</v>
      </c>
      <c r="C10" t="s">
        <v>45</v>
      </c>
      <c r="D10">
        <v>1</v>
      </c>
      <c r="F10">
        <v>0</v>
      </c>
      <c r="G10" t="str">
        <f t="shared" si="0"/>
        <v xml:space="preserve">is_active, </v>
      </c>
      <c r="H10" t="str" cm="1">
        <f t="array" ref="H10">IF($D10,IF(ISBLANK($E10),_xlfn.SWITCH($C10,"integer",0,"bigint",0,"decimal",0,"bool",FALSE,"date","'0001-01-01'","datetime","'0001-01-01 00:00:00'","''"),$E10)&amp;IF($B10="updated_at",");",", "),"")</f>
        <v xml:space="preserve">FALSE, </v>
      </c>
    </row>
    <row r="11" spans="1:8" x14ac:dyDescent="0.55000000000000004">
      <c r="A11">
        <v>9</v>
      </c>
      <c r="B11" t="s">
        <v>53</v>
      </c>
      <c r="C11" t="s">
        <v>43</v>
      </c>
      <c r="D11">
        <v>1</v>
      </c>
      <c r="F11">
        <v>0</v>
      </c>
      <c r="G11" t="str">
        <f t="shared" si="0"/>
        <v xml:space="preserve">date_joined, </v>
      </c>
      <c r="H11" t="str" cm="1">
        <f t="array" ref="H11">IF($D11,IF(ISBLANK($E11),_xlfn.SWITCH($C11,"integer",0,"bigint",0,"decimal",0,"bool",FALSE,"date","'0001-01-01'","datetime","'0001-01-01 00:00:00'","''"),$E11)&amp;IF($B11="updated_at",");",", "),"")</f>
        <v xml:space="preserve">'0001-01-01 00:00:00', </v>
      </c>
    </row>
    <row r="12" spans="1:8" x14ac:dyDescent="0.55000000000000004">
      <c r="A12">
        <v>10</v>
      </c>
      <c r="B12" t="s">
        <v>42</v>
      </c>
      <c r="C12" t="s">
        <v>43</v>
      </c>
      <c r="D12">
        <v>0</v>
      </c>
      <c r="F12">
        <v>0</v>
      </c>
      <c r="G12" t="str">
        <f t="shared" si="0"/>
        <v/>
      </c>
      <c r="H12" t="str" cm="1">
        <f t="array" ref="H12">IF($D12,IF(ISBLANK($E12),_xlfn.SWITCH($C12,"integer",0,"bigint",0,"decimal",0,"bool",FALSE,"date","'0001-01-01'","datetime","'0001-01-01 00:00:00'","''"),$E12)&amp;IF($B12="updated_at",");",", "),"")</f>
        <v/>
      </c>
    </row>
  </sheetData>
  <sortState xmlns:xlrd2="http://schemas.microsoft.com/office/spreadsheetml/2017/richdata2" ref="A2:F12">
    <sortCondition ref="A2:A1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BD3DF-097E-4848-9F8C-44A1DA506768}">
  <sheetPr codeName="Sheet3"/>
  <dimension ref="A1:H6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online_learning_platform_accoun (</v>
      </c>
      <c r="H1" t="str">
        <f>"VALUES ("</f>
        <v>VALUES (</v>
      </c>
    </row>
    <row r="2" spans="1:8" x14ac:dyDescent="0.55000000000000004">
      <c r="A2">
        <v>0</v>
      </c>
      <c r="B2" t="s">
        <v>55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user_ptr_id,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56</v>
      </c>
      <c r="C3" t="s">
        <v>45</v>
      </c>
      <c r="D3">
        <v>1</v>
      </c>
      <c r="F3">
        <v>0</v>
      </c>
      <c r="G3" t="str">
        <f>IF($D3,$B3&amp;IF($B3="updated_at",") ",", "),"")</f>
        <v xml:space="preserve">teacher_flag,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FALSE, </v>
      </c>
    </row>
    <row r="4" spans="1:8" x14ac:dyDescent="0.55000000000000004">
      <c r="A4">
        <v>2</v>
      </c>
      <c r="B4" t="s">
        <v>57</v>
      </c>
      <c r="C4" t="s">
        <v>45</v>
      </c>
      <c r="D4">
        <v>1</v>
      </c>
      <c r="F4">
        <v>0</v>
      </c>
      <c r="G4" t="str">
        <f>IF($D4,$B4&amp;IF($B4="updated_at",") ",", "),"")</f>
        <v xml:space="preserve">student_flag,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FALSE, </v>
      </c>
    </row>
    <row r="5" spans="1:8" x14ac:dyDescent="0.55000000000000004">
      <c r="A5">
        <v>3</v>
      </c>
      <c r="B5" t="s">
        <v>58</v>
      </c>
      <c r="C5" t="s">
        <v>43</v>
      </c>
      <c r="D5">
        <v>1</v>
      </c>
      <c r="F5">
        <v>0</v>
      </c>
      <c r="G5" t="str">
        <f>IF($D5,$B5&amp;IF($B5="updated_at",") ",", "),"")</f>
        <v xml:space="preserve">created_at,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 00:00:00', </v>
      </c>
    </row>
    <row r="6" spans="1:8" x14ac:dyDescent="0.55000000000000004">
      <c r="A6">
        <v>4</v>
      </c>
      <c r="B6" t="s">
        <v>59</v>
      </c>
      <c r="C6" t="s">
        <v>43</v>
      </c>
      <c r="D6">
        <v>1</v>
      </c>
      <c r="F6">
        <v>0</v>
      </c>
      <c r="G6" t="str">
        <f>IF($D6,$B6&amp;IF($B6="updated_at",") ",", "),"")</f>
        <v xml:space="preserve">updated_at)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>'0001-01-01 00:00:00');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11277-CCE0-4CBD-81B8-509F430089FC}">
  <sheetPr codeName="Sheet4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online_learning_platform_teache (</v>
      </c>
      <c r="H1" t="str">
        <f>"VALUES ("</f>
        <v>VALUES (</v>
      </c>
    </row>
    <row r="2" spans="1:8" x14ac:dyDescent="0.55000000000000004">
      <c r="A2">
        <v>0</v>
      </c>
      <c r="B2" t="s">
        <v>60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account_ptr_id,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61</v>
      </c>
      <c r="C3" t="s">
        <v>62</v>
      </c>
      <c r="D3">
        <v>1</v>
      </c>
      <c r="F3">
        <v>0</v>
      </c>
      <c r="G3" t="str">
        <f>IF($D3,$B3&amp;IF($B3="updated_at",") ",", "),"")</f>
        <v xml:space="preserve">profile,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'', 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A21C0-B4AF-4BA7-8E16-E89F9982CACC}">
  <sheetPr codeName="Sheet5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teacher_course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7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66</v>
      </c>
      <c r="C3" t="s">
        <v>39</v>
      </c>
      <c r="D3">
        <v>1</v>
      </c>
      <c r="F3">
        <v>0</v>
      </c>
      <c r="G3" t="str">
        <f t="shared" si="0"/>
        <v xml:space="preserve">teacher_id,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63</v>
      </c>
      <c r="C4" t="s">
        <v>64</v>
      </c>
      <c r="D4">
        <v>1</v>
      </c>
      <c r="F4">
        <v>0</v>
      </c>
      <c r="G4" t="str">
        <f t="shared" si="0"/>
        <v xml:space="preserve">course_name,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'', </v>
      </c>
    </row>
    <row r="5" spans="1:8" x14ac:dyDescent="0.55000000000000004">
      <c r="A5">
        <v>3</v>
      </c>
      <c r="B5" t="s">
        <v>65</v>
      </c>
      <c r="C5" t="s">
        <v>39</v>
      </c>
      <c r="D5">
        <v>1</v>
      </c>
      <c r="F5">
        <v>0</v>
      </c>
      <c r="G5" t="str">
        <f t="shared" si="0"/>
        <v xml:space="preserve">standard_price,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 t="shared" si="0"/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si="0"/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3FD8A-696D-45E9-9ABE-506927E6A970}">
  <sheetPr codeName="Sheet6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teacher_section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7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69</v>
      </c>
      <c r="C3" t="s">
        <v>70</v>
      </c>
      <c r="D3">
        <v>1</v>
      </c>
      <c r="F3">
        <v>0</v>
      </c>
      <c r="G3" t="str">
        <f t="shared" si="0"/>
        <v xml:space="preserve">course_id,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67</v>
      </c>
      <c r="C4" t="s">
        <v>39</v>
      </c>
      <c r="D4">
        <v>1</v>
      </c>
      <c r="F4">
        <v>0</v>
      </c>
      <c r="G4" t="str">
        <f t="shared" si="0"/>
        <v xml:space="preserve">section_no,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68</v>
      </c>
      <c r="C5" t="s">
        <v>64</v>
      </c>
      <c r="D5">
        <v>1</v>
      </c>
      <c r="F5">
        <v>0</v>
      </c>
      <c r="G5" t="str">
        <f t="shared" si="0"/>
        <v xml:space="preserve">section_name,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'',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 t="shared" si="0"/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si="0"/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32002-EEFD-4151-AD33-A56653F7874F}">
  <sheetPr codeName="Sheet7"/>
  <dimension ref="A1:H8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teacher_content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8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74</v>
      </c>
      <c r="C3" t="s">
        <v>70</v>
      </c>
      <c r="D3">
        <v>1</v>
      </c>
      <c r="F3">
        <v>0</v>
      </c>
      <c r="G3" t="str">
        <f t="shared" si="0"/>
        <v xml:space="preserve">section_id,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71</v>
      </c>
      <c r="C4" t="s">
        <v>39</v>
      </c>
      <c r="D4">
        <v>1</v>
      </c>
      <c r="F4">
        <v>0</v>
      </c>
      <c r="G4" t="str">
        <f t="shared" si="0"/>
        <v xml:space="preserve">content_no,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72</v>
      </c>
      <c r="C5" t="s">
        <v>64</v>
      </c>
      <c r="D5">
        <v>1</v>
      </c>
      <c r="F5">
        <v>0</v>
      </c>
      <c r="G5" t="str">
        <f t="shared" si="0"/>
        <v xml:space="preserve">content_name,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'', </v>
      </c>
    </row>
    <row r="6" spans="1:8" x14ac:dyDescent="0.55000000000000004">
      <c r="A6">
        <v>4</v>
      </c>
      <c r="B6" t="s">
        <v>73</v>
      </c>
      <c r="C6" t="s">
        <v>45</v>
      </c>
      <c r="D6">
        <v>1</v>
      </c>
      <c r="F6">
        <v>0</v>
      </c>
      <c r="G6" t="str">
        <f t="shared" si="0"/>
        <v xml:space="preserve">content_flag,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FALSE, </v>
      </c>
    </row>
    <row r="7" spans="1:8" x14ac:dyDescent="0.55000000000000004">
      <c r="A7">
        <v>5</v>
      </c>
      <c r="B7" t="s">
        <v>58</v>
      </c>
      <c r="C7" t="s">
        <v>43</v>
      </c>
      <c r="D7">
        <v>1</v>
      </c>
      <c r="F7">
        <v>0</v>
      </c>
      <c r="G7" t="str">
        <f t="shared" si="0"/>
        <v xml:space="preserve">created_at,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6</v>
      </c>
      <c r="B8" t="s">
        <v>59</v>
      </c>
      <c r="C8" t="s">
        <v>43</v>
      </c>
      <c r="D8">
        <v>1</v>
      </c>
      <c r="F8">
        <v>0</v>
      </c>
      <c r="G8" t="str">
        <f t="shared" si="0"/>
        <v xml:space="preserve">updated_at)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>'0001-01-01 00:00:00');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963A4-2997-403D-AA91-605293160347}">
  <sheetPr codeName="Sheet8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teacher_lecturevideo (</v>
      </c>
      <c r="H1" t="str">
        <f>"VALUES ("</f>
        <v>VALUES (</v>
      </c>
    </row>
    <row r="2" spans="1:8" x14ac:dyDescent="0.55000000000000004">
      <c r="A2">
        <v>0</v>
      </c>
      <c r="B2" t="s">
        <v>75</v>
      </c>
      <c r="C2" t="s">
        <v>70</v>
      </c>
      <c r="D2">
        <v>1</v>
      </c>
      <c r="F2">
        <v>1</v>
      </c>
      <c r="G2" t="str">
        <f>IF($D2,$B2&amp;IF($B2="updated_at",") ",", "),"")</f>
        <v xml:space="preserve">content_ptr_id,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76</v>
      </c>
      <c r="C3" t="s">
        <v>39</v>
      </c>
      <c r="D3">
        <v>1</v>
      </c>
      <c r="F3">
        <v>0</v>
      </c>
      <c r="G3" t="str">
        <f>IF($D3,$B3&amp;IF($B3="updated_at",") ",", "),"")</f>
        <v xml:space="preserve">lecture_time,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39860-3667-400E-9A41-E1C83EDDDB93}">
  <sheetPr codeName="Sheet9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teacher_examination (</v>
      </c>
      <c r="H1" t="str">
        <f>"VALUES ("</f>
        <v>VALUES (</v>
      </c>
    </row>
    <row r="2" spans="1:8" x14ac:dyDescent="0.55000000000000004">
      <c r="A2">
        <v>0</v>
      </c>
      <c r="B2" t="s">
        <v>75</v>
      </c>
      <c r="C2" t="s">
        <v>70</v>
      </c>
      <c r="D2">
        <v>1</v>
      </c>
      <c r="F2">
        <v>1</v>
      </c>
      <c r="G2" t="str">
        <f>IF($D2,$B2&amp;IF($B2="updated_at",") ",", "),"")</f>
        <v xml:space="preserve">content_ptr_id,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77</v>
      </c>
      <c r="C3" t="s">
        <v>39</v>
      </c>
      <c r="D3">
        <v>1</v>
      </c>
      <c r="F3">
        <v>0</v>
      </c>
      <c r="G3" t="str">
        <f>IF($D3,$B3&amp;IF($B3="updated_at",") ",", "),"")</f>
        <v xml:space="preserve">answer_limit_time,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055A3-3073-4833-961E-B67F5E9639E2}">
  <sheetPr codeName="Sheet10"/>
  <dimension ref="A1:H8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teacher_examquestion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8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81</v>
      </c>
      <c r="C3" t="s">
        <v>70</v>
      </c>
      <c r="D3">
        <v>1</v>
      </c>
      <c r="F3">
        <v>0</v>
      </c>
      <c r="G3" t="str">
        <f t="shared" si="0"/>
        <v xml:space="preserve">exam_id,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78</v>
      </c>
      <c r="C4" t="s">
        <v>39</v>
      </c>
      <c r="D4">
        <v>1</v>
      </c>
      <c r="F4">
        <v>0</v>
      </c>
      <c r="G4" t="str">
        <f t="shared" si="0"/>
        <v xml:space="preserve">question_no,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79</v>
      </c>
      <c r="C5" t="s">
        <v>62</v>
      </c>
      <c r="D5">
        <v>1</v>
      </c>
      <c r="F5">
        <v>0</v>
      </c>
      <c r="G5" t="str">
        <f t="shared" si="0"/>
        <v xml:space="preserve">question_text,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'', </v>
      </c>
    </row>
    <row r="6" spans="1:8" x14ac:dyDescent="0.55000000000000004">
      <c r="A6">
        <v>4</v>
      </c>
      <c r="B6" t="s">
        <v>80</v>
      </c>
      <c r="C6" t="s">
        <v>39</v>
      </c>
      <c r="D6">
        <v>1</v>
      </c>
      <c r="F6">
        <v>0</v>
      </c>
      <c r="G6" t="str">
        <f t="shared" si="0"/>
        <v xml:space="preserve">score,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0, </v>
      </c>
    </row>
    <row r="7" spans="1:8" x14ac:dyDescent="0.55000000000000004">
      <c r="A7">
        <v>5</v>
      </c>
      <c r="B7" t="s">
        <v>58</v>
      </c>
      <c r="C7" t="s">
        <v>43</v>
      </c>
      <c r="D7">
        <v>1</v>
      </c>
      <c r="F7">
        <v>0</v>
      </c>
      <c r="G7" t="str">
        <f t="shared" si="0"/>
        <v xml:space="preserve">created_at,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6</v>
      </c>
      <c r="B8" t="s">
        <v>59</v>
      </c>
      <c r="C8" t="s">
        <v>43</v>
      </c>
      <c r="D8">
        <v>1</v>
      </c>
      <c r="F8">
        <v>0</v>
      </c>
      <c r="G8" t="str">
        <f t="shared" si="0"/>
        <v xml:space="preserve">updated_at)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>'0001-01-01 00:00:00');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346F9-697C-4F8B-8A7C-35CBA7EDEF19}">
  <sheetPr codeName="Sheet11"/>
  <dimension ref="A1:H8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teacher_examquestionchoice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8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85</v>
      </c>
      <c r="C3" t="s">
        <v>70</v>
      </c>
      <c r="D3">
        <v>1</v>
      </c>
      <c r="F3">
        <v>0</v>
      </c>
      <c r="G3" t="str">
        <f t="shared" si="0"/>
        <v xml:space="preserve">question_id,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82</v>
      </c>
      <c r="C4" t="s">
        <v>39</v>
      </c>
      <c r="D4">
        <v>1</v>
      </c>
      <c r="F4">
        <v>0</v>
      </c>
      <c r="G4" t="str">
        <f t="shared" si="0"/>
        <v xml:space="preserve">choice_no,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83</v>
      </c>
      <c r="C5" t="s">
        <v>62</v>
      </c>
      <c r="D5">
        <v>1</v>
      </c>
      <c r="F5">
        <v>0</v>
      </c>
      <c r="G5" t="str">
        <f t="shared" si="0"/>
        <v xml:space="preserve">choice_text,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'', </v>
      </c>
    </row>
    <row r="6" spans="1:8" x14ac:dyDescent="0.55000000000000004">
      <c r="A6">
        <v>4</v>
      </c>
      <c r="B6" t="s">
        <v>84</v>
      </c>
      <c r="C6" t="s">
        <v>45</v>
      </c>
      <c r="D6">
        <v>1</v>
      </c>
      <c r="F6">
        <v>0</v>
      </c>
      <c r="G6" t="str">
        <f t="shared" si="0"/>
        <v xml:space="preserve">correct_answer_flag,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FALSE, </v>
      </c>
    </row>
    <row r="7" spans="1:8" x14ac:dyDescent="0.55000000000000004">
      <c r="A7">
        <v>5</v>
      </c>
      <c r="B7" t="s">
        <v>58</v>
      </c>
      <c r="C7" t="s">
        <v>43</v>
      </c>
      <c r="D7">
        <v>1</v>
      </c>
      <c r="F7">
        <v>0</v>
      </c>
      <c r="G7" t="str">
        <f t="shared" si="0"/>
        <v xml:space="preserve">created_at,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6</v>
      </c>
      <c r="B8" t="s">
        <v>59</v>
      </c>
      <c r="C8" t="s">
        <v>43</v>
      </c>
      <c r="D8">
        <v>1</v>
      </c>
      <c r="F8">
        <v>0</v>
      </c>
      <c r="G8" t="str">
        <f t="shared" si="0"/>
        <v xml:space="preserve">updated_at)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>'0001-01-01 00:00:00');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F983E-5B9B-4A52-B667-6A22D851F393}">
  <sheetPr codeName="Sheet12"/>
  <dimension ref="A1:H11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teacher_coupon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69</v>
      </c>
      <c r="C3" t="s">
        <v>70</v>
      </c>
      <c r="D3">
        <v>1</v>
      </c>
      <c r="F3">
        <v>0</v>
      </c>
      <c r="G3" t="str">
        <f>IF($D3,$B3&amp;IF($B3="updated_at",") ",", "),"")</f>
        <v xml:space="preserve">course_id,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86</v>
      </c>
      <c r="C4" t="s">
        <v>87</v>
      </c>
      <c r="D4">
        <v>0</v>
      </c>
      <c r="F4">
        <v>0</v>
      </c>
      <c r="G4" t="str">
        <f t="shared" ref="G4:G11" si="0">IF($D4,$B4&amp;IF($B4="updated_at",") ",", "),"")</f>
        <v/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/>
      </c>
    </row>
    <row r="5" spans="1:8" x14ac:dyDescent="0.55000000000000004">
      <c r="A5">
        <v>3</v>
      </c>
      <c r="B5" t="s">
        <v>88</v>
      </c>
      <c r="C5" t="s">
        <v>39</v>
      </c>
      <c r="D5">
        <v>0</v>
      </c>
      <c r="F5">
        <v>0</v>
      </c>
      <c r="G5" t="str">
        <f t="shared" si="0"/>
        <v/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/>
      </c>
    </row>
    <row r="6" spans="1:8" x14ac:dyDescent="0.55000000000000004">
      <c r="A6">
        <v>4</v>
      </c>
      <c r="B6" t="s">
        <v>89</v>
      </c>
      <c r="C6" t="s">
        <v>90</v>
      </c>
      <c r="D6">
        <v>1</v>
      </c>
      <c r="F6">
        <v>0</v>
      </c>
      <c r="G6" t="str">
        <f t="shared" si="0"/>
        <v xml:space="preserve">applying_start_date,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'0001-01-01', </v>
      </c>
    </row>
    <row r="7" spans="1:8" x14ac:dyDescent="0.55000000000000004">
      <c r="A7">
        <v>5</v>
      </c>
      <c r="B7" t="s">
        <v>91</v>
      </c>
      <c r="C7" t="s">
        <v>90</v>
      </c>
      <c r="D7">
        <v>1</v>
      </c>
      <c r="F7">
        <v>0</v>
      </c>
      <c r="G7" t="str">
        <f t="shared" si="0"/>
        <v xml:space="preserve">applying_end_date,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'0001-01-01', </v>
      </c>
    </row>
    <row r="8" spans="1:8" x14ac:dyDescent="0.55000000000000004">
      <c r="A8">
        <v>6</v>
      </c>
      <c r="B8" t="s">
        <v>92</v>
      </c>
      <c r="C8" t="s">
        <v>39</v>
      </c>
      <c r="D8">
        <v>1</v>
      </c>
      <c r="F8">
        <v>0</v>
      </c>
      <c r="G8" t="str">
        <f t="shared" si="0"/>
        <v xml:space="preserve">available_count,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 xml:space="preserve">0, </v>
      </c>
    </row>
    <row r="9" spans="1:8" x14ac:dyDescent="0.55000000000000004">
      <c r="A9">
        <v>7</v>
      </c>
      <c r="B9" t="s">
        <v>93</v>
      </c>
      <c r="C9" t="s">
        <v>90</v>
      </c>
      <c r="D9">
        <v>1</v>
      </c>
      <c r="F9">
        <v>0</v>
      </c>
      <c r="G9" t="str">
        <f t="shared" si="0"/>
        <v xml:space="preserve">coupon_issuing_date, </v>
      </c>
      <c r="H9" t="str" cm="1">
        <f t="array" ref="H9">IF($D9,IF(ISBLANK($E9),_xlfn.SWITCH($C9,"integer",0,"bigint",0,"decimal",0,"bool",FALSE,"date","'0001-01-01'","datetime","'0001-01-01 00:00:00'","''"),$E9)&amp;IF($B9="updated_at",");",", "),"")</f>
        <v xml:space="preserve">'0001-01-01', </v>
      </c>
    </row>
    <row r="10" spans="1:8" x14ac:dyDescent="0.55000000000000004">
      <c r="A10">
        <v>8</v>
      </c>
      <c r="B10" t="s">
        <v>58</v>
      </c>
      <c r="C10" t="s">
        <v>43</v>
      </c>
      <c r="D10">
        <v>1</v>
      </c>
      <c r="F10">
        <v>0</v>
      </c>
      <c r="G10" t="str">
        <f t="shared" si="0"/>
        <v xml:space="preserve">created_at, </v>
      </c>
      <c r="H10" t="str" cm="1">
        <f t="array" ref="H10">IF($D10,IF(ISBLANK($E10),_xlfn.SWITCH($C10,"integer",0,"bigint",0,"decimal",0,"bool",FALSE,"date","'0001-01-01'","datetime","'0001-01-01 00:00:00'","''"),$E10)&amp;IF($B10="updated_at",");",", "),"")</f>
        <v xml:space="preserve">'0001-01-01 00:00:00', </v>
      </c>
    </row>
    <row r="11" spans="1:8" x14ac:dyDescent="0.55000000000000004">
      <c r="A11">
        <v>9</v>
      </c>
      <c r="B11" t="s">
        <v>59</v>
      </c>
      <c r="C11" t="s">
        <v>43</v>
      </c>
      <c r="D11">
        <v>1</v>
      </c>
      <c r="F11">
        <v>0</v>
      </c>
      <c r="G11" t="str">
        <f t="shared" si="0"/>
        <v xml:space="preserve">updated_at) </v>
      </c>
      <c r="H11" t="str" cm="1">
        <f t="array" ref="H11">IF($D11,IF(ISBLANK($E11),_xlfn.SWITCH($C11,"integer",0,"bigint",0,"decimal",0,"bool",FALSE,"date","'0001-01-01'","datetime","'0001-01-01 00:00:00'","''"),$E11)&amp;IF($B11="updated_at",");",", "),"")</f>
        <v>'0001-01-01 00:00:00');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00CE7-7211-4BB2-B67A-F37FFFC6FCAF}">
  <sheetPr codeName="Sheet13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online_learning_platform_studen (</v>
      </c>
      <c r="H1" t="str">
        <f>"VALUES ("</f>
        <v>VALUES (</v>
      </c>
    </row>
    <row r="2" spans="1:8" x14ac:dyDescent="0.55000000000000004">
      <c r="A2">
        <v>0</v>
      </c>
      <c r="B2" t="s">
        <v>60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account_ptr_id,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94</v>
      </c>
      <c r="C3" t="s">
        <v>62</v>
      </c>
      <c r="D3">
        <v>1</v>
      </c>
      <c r="F3">
        <v>0</v>
      </c>
      <c r="G3" t="str">
        <f>IF($D3,$B3&amp;IF($B3="updated_at",") ",", "),"")</f>
        <v xml:space="preserve">pay_info,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'', 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3DC5-7179-42F2-A8EB-B5DC77BE30E8}">
  <sheetPr codeName="Sheet14"/>
  <dimension ref="A1:H10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student_coursepurchase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69</v>
      </c>
      <c r="C3" t="s">
        <v>70</v>
      </c>
      <c r="D3">
        <v>1</v>
      </c>
      <c r="F3">
        <v>0</v>
      </c>
      <c r="G3" t="str">
        <f t="shared" ref="G3:G10" si="0">IF($D3,$B3&amp;IF($B3="updated_at",") ",", "),"")</f>
        <v xml:space="preserve">course_id,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95</v>
      </c>
      <c r="C4" t="s">
        <v>90</v>
      </c>
      <c r="D4">
        <v>1</v>
      </c>
      <c r="F4">
        <v>0</v>
      </c>
      <c r="G4" t="str">
        <f t="shared" si="0"/>
        <v xml:space="preserve">purchase_date,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'0001-01-01', </v>
      </c>
    </row>
    <row r="5" spans="1:8" x14ac:dyDescent="0.55000000000000004">
      <c r="A5">
        <v>3</v>
      </c>
      <c r="B5" t="s">
        <v>96</v>
      </c>
      <c r="C5" t="s">
        <v>39</v>
      </c>
      <c r="D5">
        <v>1</v>
      </c>
      <c r="F5">
        <v>0</v>
      </c>
      <c r="G5" t="str">
        <f t="shared" si="0"/>
        <v xml:space="preserve">purchase_price,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97</v>
      </c>
      <c r="C6" t="s">
        <v>70</v>
      </c>
      <c r="D6">
        <v>0</v>
      </c>
      <c r="F6">
        <v>0</v>
      </c>
      <c r="G6" t="str">
        <f t="shared" si="0"/>
        <v/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/>
      </c>
    </row>
    <row r="7" spans="1:8" x14ac:dyDescent="0.55000000000000004">
      <c r="A7">
        <v>5</v>
      </c>
      <c r="B7" t="s">
        <v>98</v>
      </c>
      <c r="C7" t="s">
        <v>39</v>
      </c>
      <c r="D7">
        <v>1</v>
      </c>
      <c r="F7">
        <v>0</v>
      </c>
      <c r="G7" t="str">
        <f t="shared" si="0"/>
        <v xml:space="preserve">student_id,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0, </v>
      </c>
    </row>
    <row r="8" spans="1:8" x14ac:dyDescent="0.55000000000000004">
      <c r="A8">
        <v>6</v>
      </c>
      <c r="B8" t="s">
        <v>99</v>
      </c>
      <c r="C8" t="s">
        <v>45</v>
      </c>
      <c r="D8">
        <v>1</v>
      </c>
      <c r="F8">
        <v>0</v>
      </c>
      <c r="G8" t="str">
        <f t="shared" si="0"/>
        <v xml:space="preserve">flag,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 xml:space="preserve">FALSE, </v>
      </c>
    </row>
    <row r="9" spans="1:8" x14ac:dyDescent="0.55000000000000004">
      <c r="A9">
        <v>7</v>
      </c>
      <c r="B9" t="s">
        <v>58</v>
      </c>
      <c r="C9" t="s">
        <v>43</v>
      </c>
      <c r="D9">
        <v>1</v>
      </c>
      <c r="F9">
        <v>0</v>
      </c>
      <c r="G9" t="str">
        <f t="shared" si="0"/>
        <v xml:space="preserve">created_at, </v>
      </c>
      <c r="H9" t="str" cm="1">
        <f t="array" ref="H9">IF($D9,IF(ISBLANK($E9),_xlfn.SWITCH($C9,"integer",0,"bigint",0,"decimal",0,"bool",FALSE,"date","'0001-01-01'","datetime","'0001-01-01 00:00:00'","''"),$E9)&amp;IF($B9="updated_at",");",", "),"")</f>
        <v xml:space="preserve">'0001-01-01 00:00:00', </v>
      </c>
    </row>
    <row r="10" spans="1:8" x14ac:dyDescent="0.55000000000000004">
      <c r="A10">
        <v>8</v>
      </c>
      <c r="B10" t="s">
        <v>59</v>
      </c>
      <c r="C10" t="s">
        <v>43</v>
      </c>
      <c r="D10">
        <v>1</v>
      </c>
      <c r="F10">
        <v>0</v>
      </c>
      <c r="G10" t="str">
        <f t="shared" si="0"/>
        <v xml:space="preserve">updated_at) </v>
      </c>
      <c r="H10" t="str" cm="1">
        <f t="array" ref="H10">IF($D10,IF(ISBLANK($E10),_xlfn.SWITCH($C10,"integer",0,"bigint",0,"decimal",0,"bool",FALSE,"date","'0001-01-01'","datetime","'0001-01-01 00:00:00'","''"),$E10)&amp;IF($B10="updated_at",");",", "),"")</f>
        <v>'0001-01-01 00:00:00');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D7E3E-97BA-4D56-9CC0-3AAA59BD7B3D}">
  <sheetPr codeName="Sheet15"/>
  <dimension ref="A1:H10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student_courseattending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98</v>
      </c>
      <c r="C3" t="s">
        <v>39</v>
      </c>
      <c r="D3">
        <v>1</v>
      </c>
      <c r="F3">
        <v>0</v>
      </c>
      <c r="G3" t="str">
        <f>IF($D3,$B3&amp;IF($B3="updated_at",") ",", "),"")</f>
        <v xml:space="preserve">student_id,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69</v>
      </c>
      <c r="C4" t="s">
        <v>70</v>
      </c>
      <c r="D4">
        <v>1</v>
      </c>
      <c r="F4">
        <v>0</v>
      </c>
      <c r="G4" t="str">
        <f>IF($D4,$B4&amp;IF($B4="updated_at",") ",", "),"")</f>
        <v xml:space="preserve">course_id,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100</v>
      </c>
      <c r="C5" t="s">
        <v>43</v>
      </c>
      <c r="D5">
        <v>1</v>
      </c>
      <c r="F5">
        <v>0</v>
      </c>
      <c r="G5" t="str">
        <f t="shared" ref="G5:G10" si="0">IF($D5,$B5&amp;IF($B5="updated_at",") ",", "),"")</f>
        <v xml:space="preserve">start_time,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 00:00:00', </v>
      </c>
    </row>
    <row r="6" spans="1:8" x14ac:dyDescent="0.55000000000000004">
      <c r="A6">
        <v>4</v>
      </c>
      <c r="B6" t="s">
        <v>101</v>
      </c>
      <c r="C6" t="s">
        <v>43</v>
      </c>
      <c r="D6">
        <v>0</v>
      </c>
      <c r="F6">
        <v>0</v>
      </c>
      <c r="G6" t="str">
        <f t="shared" si="0"/>
        <v/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/>
      </c>
    </row>
    <row r="7" spans="1:8" x14ac:dyDescent="0.55000000000000004">
      <c r="A7">
        <v>5</v>
      </c>
      <c r="B7" t="s">
        <v>103</v>
      </c>
      <c r="C7" t="s">
        <v>39</v>
      </c>
      <c r="D7">
        <v>0</v>
      </c>
      <c r="F7">
        <v>0</v>
      </c>
      <c r="G7" t="str">
        <f>IF($D7,$B7&amp;IF($B7="updated_at",") ",", "),"")</f>
        <v/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/>
      </c>
    </row>
    <row r="8" spans="1:8" x14ac:dyDescent="0.55000000000000004">
      <c r="A8">
        <v>6</v>
      </c>
      <c r="B8" t="s">
        <v>102</v>
      </c>
      <c r="C8" t="s">
        <v>62</v>
      </c>
      <c r="D8">
        <v>0</v>
      </c>
      <c r="F8">
        <v>0</v>
      </c>
      <c r="G8" t="str">
        <f t="shared" si="0"/>
        <v/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/>
      </c>
    </row>
    <row r="9" spans="1:8" x14ac:dyDescent="0.55000000000000004">
      <c r="A9">
        <v>7</v>
      </c>
      <c r="B9" t="s">
        <v>58</v>
      </c>
      <c r="C9" t="s">
        <v>43</v>
      </c>
      <c r="D9">
        <v>1</v>
      </c>
      <c r="F9">
        <v>0</v>
      </c>
      <c r="G9" t="str">
        <f t="shared" si="0"/>
        <v xml:space="preserve">created_at, </v>
      </c>
      <c r="H9" t="str" cm="1">
        <f t="array" ref="H9">IF($D9,IF(ISBLANK($E9),_xlfn.SWITCH($C9,"integer",0,"bigint",0,"decimal",0,"bool",FALSE,"date","'0001-01-01'","datetime","'0001-01-01 00:00:00'","''"),$E9)&amp;IF($B9="updated_at",");",", "),"")</f>
        <v xml:space="preserve">'0001-01-01 00:00:00', </v>
      </c>
    </row>
    <row r="10" spans="1:8" x14ac:dyDescent="0.55000000000000004">
      <c r="A10">
        <v>8</v>
      </c>
      <c r="B10" t="s">
        <v>59</v>
      </c>
      <c r="C10" t="s">
        <v>43</v>
      </c>
      <c r="D10">
        <v>1</v>
      </c>
      <c r="F10">
        <v>0</v>
      </c>
      <c r="G10" t="str">
        <f t="shared" si="0"/>
        <v xml:space="preserve">updated_at) </v>
      </c>
      <c r="H10" t="str" cm="1">
        <f t="array" ref="H10">IF($D10,IF(ISBLANK($E10),_xlfn.SWITCH($C10,"integer",0,"bigint",0,"decimal",0,"bool",FALSE,"date","'0001-01-01'","datetime","'0001-01-01 00:00:00'","''"),$E10)&amp;IF($B10="updated_at",");",", "),"")</f>
        <v>'0001-01-01 00:00:00');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C4470-5E27-40AD-B35E-8B3624F88C17}">
  <sheetPr codeName="Sheet16"/>
  <dimension ref="A1:H8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student_sectionattending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8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98</v>
      </c>
      <c r="C3" t="s">
        <v>39</v>
      </c>
      <c r="D3">
        <v>1</v>
      </c>
      <c r="F3">
        <v>0</v>
      </c>
      <c r="G3" t="str">
        <f t="shared" si="0"/>
        <v xml:space="preserve">student_id,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74</v>
      </c>
      <c r="C4" t="s">
        <v>70</v>
      </c>
      <c r="D4">
        <v>1</v>
      </c>
      <c r="F4">
        <v>0</v>
      </c>
      <c r="G4" t="str">
        <f t="shared" si="0"/>
        <v xml:space="preserve">section_id,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100</v>
      </c>
      <c r="C5" t="s">
        <v>43</v>
      </c>
      <c r="D5">
        <v>1</v>
      </c>
      <c r="F5">
        <v>0</v>
      </c>
      <c r="G5" t="str">
        <f t="shared" si="0"/>
        <v xml:space="preserve">start_time,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 00:00:00', </v>
      </c>
    </row>
    <row r="6" spans="1:8" x14ac:dyDescent="0.55000000000000004">
      <c r="A6">
        <v>4</v>
      </c>
      <c r="B6" t="s">
        <v>101</v>
      </c>
      <c r="C6" t="s">
        <v>43</v>
      </c>
      <c r="D6">
        <v>0</v>
      </c>
      <c r="F6">
        <v>0</v>
      </c>
      <c r="G6" t="str">
        <f t="shared" si="0"/>
        <v/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/>
      </c>
    </row>
    <row r="7" spans="1:8" x14ac:dyDescent="0.55000000000000004">
      <c r="A7">
        <v>5</v>
      </c>
      <c r="B7" t="s">
        <v>58</v>
      </c>
      <c r="C7" t="s">
        <v>43</v>
      </c>
      <c r="D7">
        <v>1</v>
      </c>
      <c r="F7">
        <v>0</v>
      </c>
      <c r="G7" t="str">
        <f t="shared" si="0"/>
        <v xml:space="preserve">created_at,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6</v>
      </c>
      <c r="B8" t="s">
        <v>59</v>
      </c>
      <c r="C8" t="s">
        <v>43</v>
      </c>
      <c r="D8">
        <v>1</v>
      </c>
      <c r="F8">
        <v>0</v>
      </c>
      <c r="G8" t="str">
        <f t="shared" si="0"/>
        <v xml:space="preserve">updated_at)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>'0001-01-01 00:00:00');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B3DD8-309B-4E4F-B882-35DAE1385FF9}">
  <sheetPr codeName="Sheet17"/>
  <dimension ref="A1:H8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student_contentattending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8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98</v>
      </c>
      <c r="C3" t="s">
        <v>39</v>
      </c>
      <c r="D3">
        <v>1</v>
      </c>
      <c r="F3">
        <v>0</v>
      </c>
      <c r="G3" t="str">
        <f t="shared" si="0"/>
        <v xml:space="preserve">student_id,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104</v>
      </c>
      <c r="C4" t="s">
        <v>70</v>
      </c>
      <c r="D4">
        <v>1</v>
      </c>
      <c r="F4">
        <v>0</v>
      </c>
      <c r="G4" t="str">
        <f t="shared" si="0"/>
        <v xml:space="preserve">content_id,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100</v>
      </c>
      <c r="C5" t="s">
        <v>43</v>
      </c>
      <c r="D5">
        <v>1</v>
      </c>
      <c r="F5">
        <v>0</v>
      </c>
      <c r="G5" t="str">
        <f t="shared" si="0"/>
        <v xml:space="preserve">start_time,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 00:00:00', </v>
      </c>
    </row>
    <row r="6" spans="1:8" x14ac:dyDescent="0.55000000000000004">
      <c r="A6">
        <v>4</v>
      </c>
      <c r="B6" t="s">
        <v>101</v>
      </c>
      <c r="C6" t="s">
        <v>43</v>
      </c>
      <c r="D6">
        <v>0</v>
      </c>
      <c r="F6">
        <v>0</v>
      </c>
      <c r="G6" t="str">
        <f t="shared" si="0"/>
        <v/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/>
      </c>
    </row>
    <row r="7" spans="1:8" x14ac:dyDescent="0.55000000000000004">
      <c r="A7">
        <v>5</v>
      </c>
      <c r="B7" t="s">
        <v>58</v>
      </c>
      <c r="C7" t="s">
        <v>43</v>
      </c>
      <c r="D7">
        <v>1</v>
      </c>
      <c r="F7">
        <v>0</v>
      </c>
      <c r="G7" t="str">
        <f t="shared" si="0"/>
        <v xml:space="preserve">created_at,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6</v>
      </c>
      <c r="B8" t="s">
        <v>59</v>
      </c>
      <c r="C8" t="s">
        <v>43</v>
      </c>
      <c r="D8">
        <v>1</v>
      </c>
      <c r="F8">
        <v>0</v>
      </c>
      <c r="G8" t="str">
        <f t="shared" si="0"/>
        <v xml:space="preserve">updated_at)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>'0001-01-01 00:00:00');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1ED04-1E63-4B8F-8E64-9988F8552617}">
  <sheetPr codeName="Sheet18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student_examresult (</v>
      </c>
      <c r="H1" t="str">
        <f>"VALUES ("</f>
        <v>VALUES (</v>
      </c>
    </row>
    <row r="2" spans="1:8" x14ac:dyDescent="0.55000000000000004">
      <c r="A2">
        <v>0</v>
      </c>
      <c r="B2" t="s">
        <v>105</v>
      </c>
      <c r="C2" t="s">
        <v>70</v>
      </c>
      <c r="D2">
        <v>1</v>
      </c>
      <c r="F2">
        <v>1</v>
      </c>
      <c r="G2" t="str">
        <f>IF($D2,$B2&amp;IF($B2="updated_at",") ",", "),"")</f>
        <v xml:space="preserve">contentattending_ptr_id,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106</v>
      </c>
      <c r="C3" t="s">
        <v>39</v>
      </c>
      <c r="D3">
        <v>1</v>
      </c>
      <c r="F3">
        <v>0</v>
      </c>
      <c r="G3" t="str">
        <f>IF($D3,$B3&amp;IF($B3="updated_at",") ",", "),"")</f>
        <v xml:space="preserve">high_score,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BBAE-DDF1-4557-B2DC-1859C64ACA35}">
  <sheetPr codeName="Sheet19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student_examresultdetail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7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108</v>
      </c>
      <c r="C3" t="s">
        <v>70</v>
      </c>
      <c r="D3">
        <v>1</v>
      </c>
      <c r="F3">
        <v>0</v>
      </c>
      <c r="G3" t="str">
        <f t="shared" si="0"/>
        <v xml:space="preserve">result_id,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85</v>
      </c>
      <c r="C4" t="s">
        <v>70</v>
      </c>
      <c r="D4">
        <v>1</v>
      </c>
      <c r="F4">
        <v>0</v>
      </c>
      <c r="G4" t="str">
        <f t="shared" si="0"/>
        <v xml:space="preserve">question_id,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107</v>
      </c>
      <c r="C5" t="s">
        <v>70</v>
      </c>
      <c r="D5">
        <v>1</v>
      </c>
      <c r="F5">
        <v>0</v>
      </c>
      <c r="G5" t="str">
        <f t="shared" si="0"/>
        <v xml:space="preserve">choice_id,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 t="shared" si="0"/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si="0"/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8452E-112E-4827-B839-A405D8EAE832}">
  <sheetPr codeName="Sheet20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student_examresulthistory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7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108</v>
      </c>
      <c r="C3" t="s">
        <v>70</v>
      </c>
      <c r="D3">
        <v>1</v>
      </c>
      <c r="F3">
        <v>0</v>
      </c>
      <c r="G3" t="str">
        <f t="shared" si="0"/>
        <v xml:space="preserve">result_id,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109</v>
      </c>
      <c r="C4" t="s">
        <v>43</v>
      </c>
      <c r="D4">
        <v>1</v>
      </c>
      <c r="F4">
        <v>0</v>
      </c>
      <c r="G4" t="str">
        <f t="shared" si="0"/>
        <v xml:space="preserve">exam_execution_time,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'0001-01-01 00:00:00', </v>
      </c>
    </row>
    <row r="5" spans="1:8" x14ac:dyDescent="0.55000000000000004">
      <c r="A5">
        <v>3</v>
      </c>
      <c r="B5" t="s">
        <v>110</v>
      </c>
      <c r="C5" t="s">
        <v>39</v>
      </c>
      <c r="D5">
        <v>1</v>
      </c>
      <c r="F5">
        <v>0</v>
      </c>
      <c r="G5" t="str">
        <f t="shared" si="0"/>
        <v xml:space="preserve">total_score,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 t="shared" si="0"/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si="0"/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75F8E-A02B-446C-B13B-CD7F22022C8F}">
  <sheetPr codeName="Sheet21"/>
  <dimension ref="A1:H9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student_question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9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104</v>
      </c>
      <c r="C3" t="s">
        <v>70</v>
      </c>
      <c r="D3">
        <v>1</v>
      </c>
      <c r="F3">
        <v>0</v>
      </c>
      <c r="G3" t="str">
        <f t="shared" si="0"/>
        <v xml:space="preserve">content_id,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98</v>
      </c>
      <c r="C4" t="s">
        <v>39</v>
      </c>
      <c r="D4">
        <v>1</v>
      </c>
      <c r="F4">
        <v>0</v>
      </c>
      <c r="G4" t="str">
        <f t="shared" si="0"/>
        <v xml:space="preserve">student_id,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111</v>
      </c>
      <c r="C5" t="s">
        <v>64</v>
      </c>
      <c r="D5">
        <v>1</v>
      </c>
      <c r="F5">
        <v>0</v>
      </c>
      <c r="G5" t="str">
        <f t="shared" si="0"/>
        <v xml:space="preserve">question_title,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'', </v>
      </c>
    </row>
    <row r="6" spans="1:8" x14ac:dyDescent="0.55000000000000004">
      <c r="A6">
        <v>4</v>
      </c>
      <c r="B6" t="s">
        <v>79</v>
      </c>
      <c r="C6" t="s">
        <v>62</v>
      </c>
      <c r="D6">
        <v>1</v>
      </c>
      <c r="F6">
        <v>0</v>
      </c>
      <c r="G6" t="str">
        <f t="shared" si="0"/>
        <v xml:space="preserve">question_text,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'', </v>
      </c>
    </row>
    <row r="7" spans="1:8" x14ac:dyDescent="0.55000000000000004">
      <c r="A7">
        <v>5</v>
      </c>
      <c r="B7" t="s">
        <v>112</v>
      </c>
      <c r="C7" t="s">
        <v>43</v>
      </c>
      <c r="D7">
        <v>1</v>
      </c>
      <c r="F7">
        <v>0</v>
      </c>
      <c r="G7" t="str">
        <f t="shared" si="0"/>
        <v xml:space="preserve">question_time,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6</v>
      </c>
      <c r="B8" t="s">
        <v>58</v>
      </c>
      <c r="C8" t="s">
        <v>43</v>
      </c>
      <c r="D8">
        <v>1</v>
      </c>
      <c r="F8">
        <v>0</v>
      </c>
      <c r="G8" t="str">
        <f t="shared" si="0"/>
        <v xml:space="preserve">created_at,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 xml:space="preserve">'0001-01-01 00:00:00', </v>
      </c>
    </row>
    <row r="9" spans="1:8" x14ac:dyDescent="0.55000000000000004">
      <c r="A9">
        <v>7</v>
      </c>
      <c r="B9" t="s">
        <v>59</v>
      </c>
      <c r="C9" t="s">
        <v>43</v>
      </c>
      <c r="D9">
        <v>1</v>
      </c>
      <c r="F9">
        <v>0</v>
      </c>
      <c r="G9" t="str">
        <f t="shared" si="0"/>
        <v xml:space="preserve">updated_at) </v>
      </c>
      <c r="H9" t="str" cm="1">
        <f t="array" ref="H9">IF($D9,IF(ISBLANK($E9),_xlfn.SWITCH($C9,"integer",0,"bigint",0,"decimal",0,"bool",FALSE,"date","'0001-01-01'","datetime","'0001-01-01 00:00:00'","''"),$E9)&amp;IF($B9="updated_at",");",",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7D470-E5AD-4F25-9217-49FDD02EE304}">
  <sheetPr codeName="Sheet22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student_comment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7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85</v>
      </c>
      <c r="C3" t="s">
        <v>70</v>
      </c>
      <c r="D3">
        <v>1</v>
      </c>
      <c r="F3">
        <v>0</v>
      </c>
      <c r="G3" t="str">
        <f t="shared" si="0"/>
        <v xml:space="preserve">question_id,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113</v>
      </c>
      <c r="C4" t="s">
        <v>62</v>
      </c>
      <c r="D4">
        <v>1</v>
      </c>
      <c r="F4">
        <v>0</v>
      </c>
      <c r="G4" t="str">
        <f t="shared" si="0"/>
        <v xml:space="preserve">comment_text,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'', </v>
      </c>
    </row>
    <row r="5" spans="1:8" x14ac:dyDescent="0.55000000000000004">
      <c r="A5">
        <v>3</v>
      </c>
      <c r="B5" t="s">
        <v>114</v>
      </c>
      <c r="C5" t="s">
        <v>43</v>
      </c>
      <c r="D5">
        <v>1</v>
      </c>
      <c r="F5">
        <v>0</v>
      </c>
      <c r="G5" t="str">
        <f t="shared" si="0"/>
        <v xml:space="preserve">comment_time,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 00:00:00',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 t="shared" si="0"/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si="0"/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9740-7DA9-4A39-8ADD-9E935B6AA7F9}">
  <sheetPr codeName="Sheet23"/>
  <dimension ref="A1:H5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company_company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118</v>
      </c>
      <c r="C3" t="s">
        <v>64</v>
      </c>
      <c r="D3">
        <v>1</v>
      </c>
      <c r="F3">
        <v>0</v>
      </c>
      <c r="G3" t="str">
        <f>IF($D3,$B3&amp;IF($B3="updated_at",") ",", "),"")</f>
        <v xml:space="preserve">company_name,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'', </v>
      </c>
    </row>
    <row r="4" spans="1:8" x14ac:dyDescent="0.55000000000000004">
      <c r="A4">
        <v>2</v>
      </c>
      <c r="B4" t="s">
        <v>58</v>
      </c>
      <c r="C4" t="s">
        <v>43</v>
      </c>
      <c r="D4">
        <v>1</v>
      </c>
      <c r="F4">
        <v>0</v>
      </c>
      <c r="G4" t="str">
        <f>IF($D4,$B4&amp;IF($B4="updated_at",") ",", "),"")</f>
        <v xml:space="preserve">created_at,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'0001-01-01 00:00:00', </v>
      </c>
    </row>
    <row r="5" spans="1:8" x14ac:dyDescent="0.55000000000000004">
      <c r="A5">
        <v>3</v>
      </c>
      <c r="B5" t="s">
        <v>59</v>
      </c>
      <c r="C5" t="s">
        <v>43</v>
      </c>
      <c r="D5">
        <v>1</v>
      </c>
      <c r="F5">
        <v>0</v>
      </c>
      <c r="G5" t="str">
        <f>IF($D5,$B5&amp;IF($B5="updated_at",") ",", "),"")</f>
        <v xml:space="preserve">updated_at)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72FB-F202-4856-ACFE-8A73A06144C1}">
  <sheetPr codeName="Sheet24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company_corporateattendingstude (</v>
      </c>
      <c r="H1" t="str">
        <f>"VALUES ("</f>
        <v>VALUES (</v>
      </c>
    </row>
    <row r="2" spans="1:8" x14ac:dyDescent="0.55000000000000004">
      <c r="A2">
        <v>0</v>
      </c>
      <c r="B2" t="s">
        <v>119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student_ptr_id,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120</v>
      </c>
      <c r="C3" t="s">
        <v>70</v>
      </c>
      <c r="D3">
        <v>1</v>
      </c>
      <c r="F3">
        <v>0</v>
      </c>
      <c r="G3" t="str">
        <f>IF($D3,$B3&amp;IF($B3="updated_at",") ",", "),"")</f>
        <v xml:space="preserve">company_id,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4DFD-6E0D-402E-983D-BC18326B5D3C}">
  <sheetPr codeName="Sheet25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company_group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7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121</v>
      </c>
      <c r="C3" t="s">
        <v>39</v>
      </c>
      <c r="D3">
        <v>1</v>
      </c>
      <c r="F3">
        <v>0</v>
      </c>
      <c r="G3" t="str">
        <f t="shared" si="0"/>
        <v xml:space="preserve">group_no,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122</v>
      </c>
      <c r="C4" t="s">
        <v>64</v>
      </c>
      <c r="D4">
        <v>1</v>
      </c>
      <c r="F4">
        <v>0</v>
      </c>
      <c r="G4" t="str">
        <f t="shared" si="0"/>
        <v xml:space="preserve">group_name,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'', </v>
      </c>
    </row>
    <row r="5" spans="1:8" x14ac:dyDescent="0.55000000000000004">
      <c r="A5">
        <v>3</v>
      </c>
      <c r="B5" t="s">
        <v>120</v>
      </c>
      <c r="C5" t="s">
        <v>70</v>
      </c>
      <c r="D5">
        <v>1</v>
      </c>
      <c r="F5">
        <v>0</v>
      </c>
      <c r="G5" t="str">
        <f t="shared" si="0"/>
        <v xml:space="preserve">company_id,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 t="shared" si="0"/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si="0"/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19FF-8105-4BE9-A113-28500E0CC2EA}">
  <sheetPr codeName="Sheet26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company_trainingcurriculum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7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123</v>
      </c>
      <c r="C3" t="s">
        <v>39</v>
      </c>
      <c r="D3">
        <v>1</v>
      </c>
      <c r="F3">
        <v>0</v>
      </c>
      <c r="G3" t="str">
        <f t="shared" si="0"/>
        <v xml:space="preserve">training_curriculum_no,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124</v>
      </c>
      <c r="C4" t="s">
        <v>64</v>
      </c>
      <c r="D4">
        <v>1</v>
      </c>
      <c r="F4">
        <v>0</v>
      </c>
      <c r="G4" t="str">
        <f t="shared" si="0"/>
        <v xml:space="preserve">training_curriculum_name,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'', </v>
      </c>
    </row>
    <row r="5" spans="1:8" x14ac:dyDescent="0.55000000000000004">
      <c r="A5">
        <v>3</v>
      </c>
      <c r="B5" t="s">
        <v>120</v>
      </c>
      <c r="C5" t="s">
        <v>70</v>
      </c>
      <c r="D5">
        <v>1</v>
      </c>
      <c r="F5">
        <v>0</v>
      </c>
      <c r="G5" t="str">
        <f t="shared" si="0"/>
        <v xml:space="preserve">company_id,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 t="shared" si="0"/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si="0"/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2D6A-3B56-44F5-9885-AC8D2D7818FB}">
  <sheetPr codeName="Sheet27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company_trainingcurriculumcours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7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69</v>
      </c>
      <c r="C3" t="s">
        <v>70</v>
      </c>
      <c r="D3">
        <v>1</v>
      </c>
      <c r="F3">
        <v>0</v>
      </c>
      <c r="G3" t="str">
        <f t="shared" si="0"/>
        <v xml:space="preserve">course_id,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133</v>
      </c>
      <c r="C4" t="s">
        <v>70</v>
      </c>
      <c r="D4">
        <v>1</v>
      </c>
      <c r="F4">
        <v>0</v>
      </c>
      <c r="G4" t="str">
        <f t="shared" si="0"/>
        <v xml:space="preserve">curriculum_id,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132</v>
      </c>
      <c r="C5" t="s">
        <v>39</v>
      </c>
      <c r="D5">
        <v>1</v>
      </c>
      <c r="F5">
        <v>0</v>
      </c>
      <c r="G5" t="str">
        <f t="shared" si="0"/>
        <v xml:space="preserve">attending_order,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 t="shared" si="0"/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si="0"/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8F418-D8F2-42C7-A2C5-AF7230AF36FA}">
  <sheetPr codeName="Sheet28"/>
  <dimension ref="A1:H6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company_groupstudent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98</v>
      </c>
      <c r="C3" t="s">
        <v>39</v>
      </c>
      <c r="D3">
        <v>1</v>
      </c>
      <c r="F3">
        <v>0</v>
      </c>
      <c r="G3" t="str">
        <f>IF($D3,$B3&amp;IF($B3="updated_at",") ",", "),"")</f>
        <v xml:space="preserve">student_id,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134</v>
      </c>
      <c r="C4" t="s">
        <v>70</v>
      </c>
      <c r="D4">
        <v>1</v>
      </c>
      <c r="F4">
        <v>0</v>
      </c>
      <c r="G4" t="str">
        <f>IF($D4,$B4&amp;IF($B4="updated_at",") ",", "),"")</f>
        <v xml:space="preserve">group_id,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58</v>
      </c>
      <c r="C5" t="s">
        <v>43</v>
      </c>
      <c r="D5">
        <v>1</v>
      </c>
      <c r="F5">
        <v>0</v>
      </c>
      <c r="G5" t="str">
        <f>IF($D5,$B5&amp;IF($B5="updated_at",") ",", "),"")</f>
        <v xml:space="preserve">created_at,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 00:00:00', </v>
      </c>
    </row>
    <row r="6" spans="1:8" x14ac:dyDescent="0.55000000000000004">
      <c r="A6">
        <v>4</v>
      </c>
      <c r="B6" t="s">
        <v>59</v>
      </c>
      <c r="C6" t="s">
        <v>43</v>
      </c>
      <c r="D6">
        <v>1</v>
      </c>
      <c r="F6">
        <v>0</v>
      </c>
      <c r="G6" t="str">
        <f>IF($D6,$B6&amp;IF($B6="updated_at",") ",", "),"")</f>
        <v xml:space="preserve">updated_at)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>'0001-01-01 00:00:00');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D4640-EEAA-44DD-B689-3133AC112DC3}">
  <sheetPr codeName="Sheet29"/>
  <dimension ref="A1:H8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company_groupcurriculum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5</v>
      </c>
      <c r="B3" t="s">
        <v>134</v>
      </c>
      <c r="C3" t="s">
        <v>70</v>
      </c>
      <c r="D3">
        <v>1</v>
      </c>
      <c r="F3">
        <v>0</v>
      </c>
      <c r="G3" t="str">
        <f t="shared" ref="G3:G8" si="0">IF($D3,$B3&amp;IF($B3="updated_at",") ",", "),"")</f>
        <v xml:space="preserve">group_id,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6</v>
      </c>
      <c r="B4" t="s">
        <v>133</v>
      </c>
      <c r="C4" t="s">
        <v>70</v>
      </c>
      <c r="D4">
        <v>1</v>
      </c>
      <c r="F4">
        <v>0</v>
      </c>
      <c r="G4" t="str">
        <f t="shared" si="0"/>
        <v xml:space="preserve">curriculum_id,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1</v>
      </c>
      <c r="B5" t="s">
        <v>135</v>
      </c>
      <c r="C5" t="s">
        <v>90</v>
      </c>
      <c r="D5">
        <v>1</v>
      </c>
      <c r="F5">
        <v>0</v>
      </c>
      <c r="G5" t="str">
        <f t="shared" si="0"/>
        <v xml:space="preserve">date_startable_attending,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'0001-01-01', </v>
      </c>
    </row>
    <row r="6" spans="1:8" x14ac:dyDescent="0.55000000000000004">
      <c r="A6">
        <v>2</v>
      </c>
      <c r="B6" t="s">
        <v>136</v>
      </c>
      <c r="C6" t="s">
        <v>90</v>
      </c>
      <c r="D6">
        <v>1</v>
      </c>
      <c r="F6">
        <v>0</v>
      </c>
      <c r="G6" t="str">
        <f t="shared" si="0"/>
        <v xml:space="preserve">attending_complete_deadline_date,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'0001-01-01', </v>
      </c>
    </row>
    <row r="7" spans="1:8" x14ac:dyDescent="0.55000000000000004">
      <c r="A7">
        <v>3</v>
      </c>
      <c r="B7" t="s">
        <v>58</v>
      </c>
      <c r="C7" t="s">
        <v>43</v>
      </c>
      <c r="D7">
        <v>1</v>
      </c>
      <c r="F7">
        <v>0</v>
      </c>
      <c r="G7" t="str">
        <f t="shared" si="0"/>
        <v xml:space="preserve">created_at,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4</v>
      </c>
      <c r="B8" t="s">
        <v>59</v>
      </c>
      <c r="C8" t="s">
        <v>43</v>
      </c>
      <c r="D8">
        <v>1</v>
      </c>
      <c r="F8">
        <v>0</v>
      </c>
      <c r="G8" t="str">
        <f t="shared" si="0"/>
        <v xml:space="preserve">updated_at)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>'0001-01-01 00:00:00');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76EF3-BD67-47AE-B7E9-1E3D2B716371}">
  <sheetPr codeName="Sheet30"/>
  <dimension ref="A1:H8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orateattendingstudentcurriculum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8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98</v>
      </c>
      <c r="C3" t="s">
        <v>39</v>
      </c>
      <c r="D3">
        <v>1</v>
      </c>
      <c r="F3">
        <v>0</v>
      </c>
      <c r="G3" t="str">
        <f t="shared" si="0"/>
        <v xml:space="preserve">student_id,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133</v>
      </c>
      <c r="C4" t="s">
        <v>70</v>
      </c>
      <c r="D4">
        <v>1</v>
      </c>
      <c r="F4">
        <v>0</v>
      </c>
      <c r="G4" t="str">
        <f t="shared" si="0"/>
        <v xml:space="preserve">curriculum_id,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137</v>
      </c>
      <c r="C5" t="s">
        <v>43</v>
      </c>
      <c r="D5">
        <v>1</v>
      </c>
      <c r="F5">
        <v>0</v>
      </c>
      <c r="G5" t="str">
        <f t="shared" si="0"/>
        <v xml:space="preserve">training_curriculum_attending_start_time,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'0001-01-01 00:00:00', </v>
      </c>
    </row>
    <row r="6" spans="1:8" x14ac:dyDescent="0.55000000000000004">
      <c r="A6">
        <v>4</v>
      </c>
      <c r="B6" t="s">
        <v>138</v>
      </c>
      <c r="C6" t="s">
        <v>43</v>
      </c>
      <c r="D6">
        <v>0</v>
      </c>
      <c r="F6">
        <v>0</v>
      </c>
      <c r="G6" t="str">
        <f t="shared" si="0"/>
        <v/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/>
      </c>
    </row>
    <row r="7" spans="1:8" x14ac:dyDescent="0.55000000000000004">
      <c r="A7">
        <v>5</v>
      </c>
      <c r="B7" t="s">
        <v>58</v>
      </c>
      <c r="C7" t="s">
        <v>43</v>
      </c>
      <c r="D7">
        <v>1</v>
      </c>
      <c r="F7">
        <v>0</v>
      </c>
      <c r="G7" t="str">
        <f t="shared" si="0"/>
        <v xml:space="preserve">created_at,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 xml:space="preserve">'0001-01-01 00:00:00', </v>
      </c>
    </row>
    <row r="8" spans="1:8" x14ac:dyDescent="0.55000000000000004">
      <c r="A8">
        <v>6</v>
      </c>
      <c r="B8" t="s">
        <v>59</v>
      </c>
      <c r="C8" t="s">
        <v>43</v>
      </c>
      <c r="D8">
        <v>1</v>
      </c>
      <c r="F8">
        <v>0</v>
      </c>
      <c r="G8" t="str">
        <f t="shared" si="0"/>
        <v xml:space="preserve">updated_at) </v>
      </c>
      <c r="H8" t="str" cm="1">
        <f t="array" ref="H8">IF($D8,IF(ISBLANK($E8),_xlfn.SWITCH($C8,"integer",0,"bigint",0,"decimal",0,"bool",FALSE,"date","'0001-01-01'","datetime","'0001-01-01 00:00:00'","''"),$E8)&amp;IF($B8="updated_at",");",", "),"")</f>
        <v>'0001-01-01 00:00:00');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D88AD-2CEF-48D0-A6BF-A761EA72E179}">
  <sheetPr codeName="Sheet31"/>
  <dimension ref="A1:H7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3.6640625" bestFit="1" customWidth="1"/>
    <col min="2" max="3" width="12.08203125" bestFit="1" customWidth="1"/>
    <col min="4" max="4" width="7.08203125" bestFit="1" customWidth="1"/>
    <col min="5" max="5" width="9.5" bestFit="1" customWidth="1"/>
    <col min="6" max="6" width="3.25" bestFit="1" customWidth="1"/>
    <col min="7" max="7" width="23.6640625" bestFit="1" customWidth="1"/>
    <col min="8" max="8" width="12.9140625" bestFit="1" customWidth="1"/>
  </cols>
  <sheetData>
    <row r="1" spans="1:8" x14ac:dyDescent="0.55000000000000004">
      <c r="A1" t="s">
        <v>33</v>
      </c>
      <c r="B1" t="s">
        <v>0</v>
      </c>
      <c r="C1" t="s">
        <v>34</v>
      </c>
      <c r="D1" t="s">
        <v>35</v>
      </c>
      <c r="E1" t="s">
        <v>36</v>
      </c>
      <c r="F1" t="s">
        <v>37</v>
      </c>
      <c r="G1" t="str" cm="1">
        <f t="array" aca="1" ref="G1" ca="1">"INSERT INTO "&amp;_xlfn.LET(_xlpm.a,CELL("filename",$A$1),RIGHT(_xlpm.a,LEN(_xlpm.a)-FIND("]",_xlpm.a)))&amp;" ("</f>
        <v>INSERT INTO company_trainingcurriculumexam (</v>
      </c>
      <c r="H1" t="str">
        <f>"VALUES ("</f>
        <v>VALUES (</v>
      </c>
    </row>
    <row r="2" spans="1:8" x14ac:dyDescent="0.55000000000000004">
      <c r="A2">
        <v>0</v>
      </c>
      <c r="B2" t="s">
        <v>38</v>
      </c>
      <c r="C2" t="s">
        <v>39</v>
      </c>
      <c r="D2">
        <v>1</v>
      </c>
      <c r="F2">
        <v>1</v>
      </c>
      <c r="G2" t="str">
        <f t="shared" ref="G2:G7" si="0">IF($D2,$B2&amp;IF($B2="updated_at",") ",", "),"")</f>
        <v xml:space="preserve">id, </v>
      </c>
      <c r="H2" t="str" cm="1">
        <f t="array" ref="H2">IF($D2,IF(ISBLANK($E2),_xlfn.SWITCH($C2,"integer",0,"bigint",0,"decimal",0,"bool",FALSE,"date","'0001-01-01'","datetime","'0001-01-01 00:00:00'","''"),$E2)&amp;IF($B2="updated_at",");",", "),"")</f>
        <v xml:space="preserve">0, </v>
      </c>
    </row>
    <row r="3" spans="1:8" x14ac:dyDescent="0.55000000000000004">
      <c r="A3">
        <v>1</v>
      </c>
      <c r="B3" t="s">
        <v>81</v>
      </c>
      <c r="C3" t="s">
        <v>70</v>
      </c>
      <c r="D3">
        <v>1</v>
      </c>
      <c r="F3">
        <v>0</v>
      </c>
      <c r="G3" t="str">
        <f t="shared" si="0"/>
        <v xml:space="preserve">exam_id, </v>
      </c>
      <c r="H3" t="str" cm="1">
        <f t="array" ref="H3">IF($D3,IF(ISBLANK($E3),_xlfn.SWITCH($C3,"integer",0,"bigint",0,"decimal",0,"bool",FALSE,"date","'0001-01-01'","datetime","'0001-01-01 00:00:00'","''"),$E3)&amp;IF($B3="updated_at",");",", "),"")</f>
        <v xml:space="preserve">0, </v>
      </c>
    </row>
    <row r="4" spans="1:8" x14ac:dyDescent="0.55000000000000004">
      <c r="A4">
        <v>2</v>
      </c>
      <c r="B4" t="s">
        <v>139</v>
      </c>
      <c r="C4" t="s">
        <v>39</v>
      </c>
      <c r="D4">
        <v>1</v>
      </c>
      <c r="F4">
        <v>0</v>
      </c>
      <c r="G4" t="str">
        <f t="shared" si="0"/>
        <v xml:space="preserve">passing_base_point, </v>
      </c>
      <c r="H4" t="str" cm="1">
        <f t="array" ref="H4">IF($D4,IF(ISBLANK($E4),_xlfn.SWITCH($C4,"integer",0,"bigint",0,"decimal",0,"bool",FALSE,"date","'0001-01-01'","datetime","'0001-01-01 00:00:00'","''"),$E4)&amp;IF($B4="updated_at",");",", "),"")</f>
        <v xml:space="preserve">0, </v>
      </c>
    </row>
    <row r="5" spans="1:8" x14ac:dyDescent="0.55000000000000004">
      <c r="A5">
        <v>3</v>
      </c>
      <c r="B5" t="s">
        <v>133</v>
      </c>
      <c r="C5" t="s">
        <v>70</v>
      </c>
      <c r="D5">
        <v>1</v>
      </c>
      <c r="F5">
        <v>0</v>
      </c>
      <c r="G5" t="str">
        <f t="shared" si="0"/>
        <v xml:space="preserve">curriculum_id, </v>
      </c>
      <c r="H5" t="str" cm="1">
        <f t="array" ref="H5">IF($D5,IF(ISBLANK($E5),_xlfn.SWITCH($C5,"integer",0,"bigint",0,"decimal",0,"bool",FALSE,"date","'0001-01-01'","datetime","'0001-01-01 00:00:00'","''"),$E5)&amp;IF($B5="updated_at",");",", "),"")</f>
        <v xml:space="preserve">0, </v>
      </c>
    </row>
    <row r="6" spans="1:8" x14ac:dyDescent="0.55000000000000004">
      <c r="A6">
        <v>4</v>
      </c>
      <c r="B6" t="s">
        <v>58</v>
      </c>
      <c r="C6" t="s">
        <v>43</v>
      </c>
      <c r="D6">
        <v>1</v>
      </c>
      <c r="F6">
        <v>0</v>
      </c>
      <c r="G6" t="str">
        <f t="shared" si="0"/>
        <v xml:space="preserve">created_at, </v>
      </c>
      <c r="H6" t="str" cm="1">
        <f t="array" ref="H6">IF($D6,IF(ISBLANK($E6),_xlfn.SWITCH($C6,"integer",0,"bigint",0,"decimal",0,"bool",FALSE,"date","'0001-01-01'","datetime","'0001-01-01 00:00:00'","''"),$E6)&amp;IF($B6="updated_at",");",", "),"")</f>
        <v xml:space="preserve">'0001-01-01 00:00:00', </v>
      </c>
    </row>
    <row r="7" spans="1:8" x14ac:dyDescent="0.55000000000000004">
      <c r="A7">
        <v>5</v>
      </c>
      <c r="B7" t="s">
        <v>59</v>
      </c>
      <c r="C7" t="s">
        <v>43</v>
      </c>
      <c r="D7">
        <v>1</v>
      </c>
      <c r="F7">
        <v>0</v>
      </c>
      <c r="G7" t="str">
        <f t="shared" si="0"/>
        <v xml:space="preserve">updated_at) </v>
      </c>
      <c r="H7" t="str" cm="1">
        <f t="array" ref="H7">IF($D7,IF(ISBLANK($E7),_xlfn.SWITCH($C7,"integer",0,"bigint",0,"decimal",0,"bool",FALSE,"date","'0001-01-01'","datetime","'0001-01-01 00:00:00'","''"),$E7)&amp;IF($B7="updated_at",");",", "),"")</f>
        <v>'0001-01-01 00:00:00');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31</vt:i4>
      </vt:variant>
    </vt:vector>
  </HeadingPairs>
  <TitlesOfParts>
    <vt:vector size="31" baseType="lpstr">
      <vt:lpstr> </vt:lpstr>
      <vt:lpstr>auth_user</vt:lpstr>
      <vt:lpstr>online_learning_platform_accoun</vt:lpstr>
      <vt:lpstr>online_learning_platform_teache</vt:lpstr>
      <vt:lpstr>teacher_course</vt:lpstr>
      <vt:lpstr>teacher_section</vt:lpstr>
      <vt:lpstr>teacher_content</vt:lpstr>
      <vt:lpstr>teacher_lecturevideo</vt:lpstr>
      <vt:lpstr>teacher_examination</vt:lpstr>
      <vt:lpstr>teacher_examquestion</vt:lpstr>
      <vt:lpstr>teacher_examquestionchoice</vt:lpstr>
      <vt:lpstr>teacher_coupon</vt:lpstr>
      <vt:lpstr>online_learning_platform_studen</vt:lpstr>
      <vt:lpstr>student_coursepurchase</vt:lpstr>
      <vt:lpstr>student_courseattending</vt:lpstr>
      <vt:lpstr>student_sectionattending</vt:lpstr>
      <vt:lpstr>student_contentattending</vt:lpstr>
      <vt:lpstr>student_examresult</vt:lpstr>
      <vt:lpstr>student_examresultdetail</vt:lpstr>
      <vt:lpstr>student_examresulthistory</vt:lpstr>
      <vt:lpstr>student_question</vt:lpstr>
      <vt:lpstr>student_comment</vt:lpstr>
      <vt:lpstr>company_company</vt:lpstr>
      <vt:lpstr>company_corporateattendingstude</vt:lpstr>
      <vt:lpstr>company_group</vt:lpstr>
      <vt:lpstr>company_trainingcurriculum</vt:lpstr>
      <vt:lpstr>company_trainingcurriculumcours</vt:lpstr>
      <vt:lpstr>company_groupstudent</vt:lpstr>
      <vt:lpstr>company_groupcurriculum</vt:lpstr>
      <vt:lpstr>orateattendingstudentcurriculum</vt:lpstr>
      <vt:lpstr>company_trainingcurriculumexam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敦雄 河内</dc:creator>
  <cp:lastModifiedBy>敦雄 河内</cp:lastModifiedBy>
  <dcterms:created xsi:type="dcterms:W3CDTF">2025-01-16T00:08:50Z</dcterms:created>
  <dcterms:modified xsi:type="dcterms:W3CDTF">2025-01-30T20:14:05Z</dcterms:modified>
</cp:coreProperties>
</file>